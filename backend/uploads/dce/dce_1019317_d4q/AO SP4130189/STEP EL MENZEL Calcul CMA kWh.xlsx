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hamid pc\Downloads\"/>
    </mc:Choice>
  </mc:AlternateContent>
  <xr:revisionPtr revIDLastSave="0" documentId="13_ncr:1_{9FBDB0A5-D700-4E6F-A03F-73BC2D8594D1}" xr6:coauthVersionLast="47" xr6:coauthVersionMax="47" xr10:uidLastSave="{00000000-0000-0000-0000-000000000000}"/>
  <bookViews>
    <workbookView xWindow="-108" yWindow="-108" windowWidth="23256" windowHeight="12576" tabRatio="818" activeTab="8" xr2:uid="{00000000-000D-0000-FFFF-FFFF00000000}"/>
  </bookViews>
  <sheets>
    <sheet name="Général" sheetId="3" r:id="rId1"/>
    <sheet name="Inputs" sheetId="2" r:id="rId2"/>
    <sheet name="Calcul du CMA du kWh" sheetId="1" r:id="rId3"/>
    <sheet name="Calcul Wp et Wt" sheetId="4" r:id="rId4"/>
    <sheet name="Tableaux I" sheetId="7" r:id="rId5"/>
    <sheet name="Tableaux II" sheetId="5" r:id="rId6"/>
    <sheet name="Tableaux III" sheetId="6" r:id="rId7"/>
    <sheet name="Tableaux IV" sheetId="8" r:id="rId8"/>
    <sheet name="Tableaux V" sheetId="9" r:id="rId9"/>
  </sheets>
  <definedNames>
    <definedName name="_Toc203478608" localSheetId="3">'Calcul Wp et Wt'!$B$28</definedName>
    <definedName name="_Toc203478609" localSheetId="3">'Calcul Wp et Wt'!$B$5</definedName>
  </definedNames>
  <calcPr calcId="191029"/>
  <customWorkbookViews>
    <customWorkbookView name="ONE - Affichage personnalisé" guid="{D2F5C913-3F22-4D51-B7FF-A5669D8F1AB9}" mergeInterval="0" personalView="1" maximized="1" windowWidth="1276" windowHeight="789"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H77" i="2"/>
  <c r="H6" i="5"/>
  <c r="C31" i="4"/>
  <c r="C12" i="4"/>
  <c r="D27" i="2"/>
  <c r="B27" i="2" s="1"/>
  <c r="F27" i="2"/>
  <c r="B4" i="1" l="1"/>
  <c r="F27" i="9"/>
  <c r="G7" i="8"/>
  <c r="I7" i="6"/>
  <c r="C34" i="4"/>
  <c r="D8" i="5" l="1"/>
  <c r="G77" i="2" l="1"/>
  <c r="F23" i="7" l="1"/>
  <c r="I77" i="2" l="1"/>
  <c r="G39" i="8"/>
  <c r="G40" i="8"/>
  <c r="G41" i="8"/>
  <c r="G42" i="8"/>
  <c r="G43" i="8"/>
  <c r="G44" i="8"/>
  <c r="G45" i="8"/>
  <c r="G38" i="8"/>
  <c r="G46" i="8" s="1"/>
  <c r="Q25" i="2"/>
  <c r="Q28" i="2"/>
  <c r="E27" i="5" s="1"/>
  <c r="J28" i="9"/>
  <c r="H10" i="9"/>
  <c r="H28" i="9"/>
  <c r="F9" i="9"/>
  <c r="G8" i="5"/>
  <c r="Q27" i="2"/>
  <c r="R27" i="2" s="1"/>
  <c r="D26" i="2"/>
  <c r="E26" i="2" s="1"/>
  <c r="F7" i="5" s="1"/>
  <c r="D28" i="2"/>
  <c r="E9" i="5" s="1"/>
  <c r="D29" i="2"/>
  <c r="E10" i="5" s="1"/>
  <c r="F28" i="9"/>
  <c r="G28" i="9"/>
  <c r="I28" i="9"/>
  <c r="F29" i="9"/>
  <c r="G29" i="9"/>
  <c r="H29" i="9"/>
  <c r="I29" i="9"/>
  <c r="J29" i="9"/>
  <c r="G27" i="9"/>
  <c r="H27" i="9"/>
  <c r="I27" i="9"/>
  <c r="J27" i="9"/>
  <c r="D24" i="9"/>
  <c r="G10" i="9"/>
  <c r="F11" i="9"/>
  <c r="G11" i="9"/>
  <c r="H11" i="9"/>
  <c r="G9" i="9"/>
  <c r="H9" i="9"/>
  <c r="D6" i="9"/>
  <c r="G50" i="8"/>
  <c r="G49" i="8"/>
  <c r="G22" i="8"/>
  <c r="G23" i="8"/>
  <c r="G21" i="8"/>
  <c r="G8" i="8"/>
  <c r="G9" i="8"/>
  <c r="G10" i="8"/>
  <c r="G11" i="8"/>
  <c r="G12" i="8"/>
  <c r="G13" i="8"/>
  <c r="G14" i="8"/>
  <c r="G15" i="8"/>
  <c r="G16" i="8"/>
  <c r="G17" i="8"/>
  <c r="G24" i="6"/>
  <c r="H24" i="6"/>
  <c r="I24" i="6"/>
  <c r="G25" i="6"/>
  <c r="H25" i="6"/>
  <c r="I25" i="6"/>
  <c r="G26" i="6"/>
  <c r="H26" i="6"/>
  <c r="I26" i="6"/>
  <c r="G27" i="6"/>
  <c r="H27" i="6"/>
  <c r="I27" i="6"/>
  <c r="H23" i="6"/>
  <c r="I23" i="6"/>
  <c r="G23" i="6"/>
  <c r="H9" i="6"/>
  <c r="I9" i="6"/>
  <c r="J9" i="6"/>
  <c r="K9" i="6"/>
  <c r="L9" i="6"/>
  <c r="G9" i="6"/>
  <c r="J12" i="6" s="1"/>
  <c r="L7" i="6"/>
  <c r="H7" i="6"/>
  <c r="J7" i="6"/>
  <c r="K7" i="6"/>
  <c r="G7" i="6"/>
  <c r="F8" i="5"/>
  <c r="D25" i="5"/>
  <c r="D26" i="5"/>
  <c r="D27" i="5"/>
  <c r="D28" i="5"/>
  <c r="D24" i="5"/>
  <c r="H25" i="5"/>
  <c r="H26" i="5"/>
  <c r="H27" i="5"/>
  <c r="H28" i="5"/>
  <c r="H24" i="5"/>
  <c r="H32" i="5" s="1"/>
  <c r="H9" i="5"/>
  <c r="I9" i="5"/>
  <c r="J9" i="5"/>
  <c r="K9" i="5"/>
  <c r="L9" i="5"/>
  <c r="M9" i="5"/>
  <c r="H10" i="5"/>
  <c r="I10" i="5"/>
  <c r="J10" i="5"/>
  <c r="K10" i="5"/>
  <c r="L10" i="5"/>
  <c r="M10" i="5"/>
  <c r="D9" i="5"/>
  <c r="D10" i="5"/>
  <c r="D7" i="5"/>
  <c r="D6" i="5"/>
  <c r="F21" i="7"/>
  <c r="G21" i="7" s="1"/>
  <c r="F8" i="7"/>
  <c r="G78" i="2" l="1"/>
  <c r="G79" i="2" s="1"/>
  <c r="F10" i="9"/>
  <c r="F12" i="9" s="1"/>
  <c r="F13" i="9" s="1"/>
  <c r="J11" i="6"/>
  <c r="J15" i="6" s="1"/>
  <c r="C16" i="4" s="1"/>
  <c r="Q26" i="2"/>
  <c r="E25" i="5" s="1"/>
  <c r="Q29" i="2"/>
  <c r="R29" i="2" s="1"/>
  <c r="F28" i="5" s="1"/>
  <c r="R28" i="2"/>
  <c r="F27" i="5" s="1"/>
  <c r="D25" i="2"/>
  <c r="E25" i="2" s="1"/>
  <c r="F6" i="5" s="1"/>
  <c r="E26" i="5"/>
  <c r="F26" i="5"/>
  <c r="S27" i="2"/>
  <c r="G26" i="5" s="1"/>
  <c r="E28" i="2"/>
  <c r="F28" i="2" s="1"/>
  <c r="G9" i="5" s="1"/>
  <c r="E7" i="5"/>
  <c r="E29" i="2"/>
  <c r="F26" i="2"/>
  <c r="G7" i="5" s="1"/>
  <c r="F30" i="9"/>
  <c r="F31" i="9" s="1"/>
  <c r="H12" i="9"/>
  <c r="H13" i="9" s="1"/>
  <c r="G12" i="9"/>
  <c r="G13" i="9" s="1"/>
  <c r="J30" i="9"/>
  <c r="J31" i="9" s="1"/>
  <c r="I30" i="9"/>
  <c r="I31" i="9" s="1"/>
  <c r="H30" i="9"/>
  <c r="H31" i="9" s="1"/>
  <c r="G30" i="9"/>
  <c r="G31" i="9" s="1"/>
  <c r="G18" i="8"/>
  <c r="G19" i="8" s="1"/>
  <c r="J31" i="6"/>
  <c r="D4" i="1"/>
  <c r="F10" i="1" l="1"/>
  <c r="F19" i="1"/>
  <c r="F22" i="1"/>
  <c r="F25" i="1"/>
  <c r="F44" i="1"/>
  <c r="F31" i="1"/>
  <c r="F32" i="1"/>
  <c r="F34" i="1"/>
  <c r="F36" i="1"/>
  <c r="F38" i="1"/>
  <c r="F40" i="1"/>
  <c r="F41" i="1"/>
  <c r="F42" i="1"/>
  <c r="F45" i="1"/>
  <c r="F46" i="1"/>
  <c r="F47" i="1"/>
  <c r="F14" i="1"/>
  <c r="F18" i="1"/>
  <c r="F43" i="1"/>
  <c r="F27" i="1"/>
  <c r="F29" i="1"/>
  <c r="F33" i="1"/>
  <c r="F35" i="1"/>
  <c r="F37" i="1"/>
  <c r="F39" i="1"/>
  <c r="F12" i="1"/>
  <c r="F15" i="1"/>
  <c r="F17" i="1"/>
  <c r="F21" i="1"/>
  <c r="F24" i="1"/>
  <c r="F48" i="1"/>
  <c r="F30" i="1"/>
  <c r="F11" i="1"/>
  <c r="F13" i="1"/>
  <c r="F16" i="1"/>
  <c r="F20" i="1"/>
  <c r="F23" i="1"/>
  <c r="F26" i="1"/>
  <c r="F28" i="1"/>
  <c r="F9" i="1"/>
  <c r="G44" i="1"/>
  <c r="G46" i="1"/>
  <c r="G42" i="1"/>
  <c r="G48" i="1"/>
  <c r="G47" i="1"/>
  <c r="G43" i="1"/>
  <c r="G40" i="1"/>
  <c r="G39" i="1"/>
  <c r="G41" i="1"/>
  <c r="G45" i="1"/>
  <c r="C8" i="5"/>
  <c r="E8" i="5"/>
  <c r="R26" i="2"/>
  <c r="F25" i="5" s="1"/>
  <c r="F9" i="5"/>
  <c r="F25" i="2"/>
  <c r="G6" i="5" s="1"/>
  <c r="E6" i="5"/>
  <c r="S28" i="2"/>
  <c r="G27" i="5" s="1"/>
  <c r="R25" i="2"/>
  <c r="E24" i="5"/>
  <c r="S29" i="2"/>
  <c r="G28" i="5" s="1"/>
  <c r="E28" i="5"/>
  <c r="G36" i="9"/>
  <c r="C42" i="4" s="1"/>
  <c r="F10" i="5"/>
  <c r="F29" i="2"/>
  <c r="G10" i="5" s="1"/>
  <c r="G18" i="9"/>
  <c r="C20" i="4" s="1"/>
  <c r="B10" i="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F50" i="1" l="1"/>
  <c r="S26" i="2"/>
  <c r="G25" i="5" s="1"/>
  <c r="B40" i="1"/>
  <c r="C39" i="1"/>
  <c r="S25" i="2"/>
  <c r="G24" i="5" s="1"/>
  <c r="F24" i="5"/>
  <c r="C10" i="1"/>
  <c r="K10" i="1" s="1"/>
  <c r="I39" i="1" l="1"/>
  <c r="K39" i="1"/>
  <c r="C40" i="1"/>
  <c r="B41" i="1"/>
  <c r="C23" i="1"/>
  <c r="K23" i="1" s="1"/>
  <c r="I40" i="1" l="1"/>
  <c r="K40" i="1"/>
  <c r="B42" i="1"/>
  <c r="C41" i="1"/>
  <c r="I41" i="1" l="1"/>
  <c r="K41" i="1"/>
  <c r="C42" i="1"/>
  <c r="B43" i="1"/>
  <c r="G47" i="8"/>
  <c r="G55" i="8" s="1"/>
  <c r="I42" i="1" l="1"/>
  <c r="K42" i="1"/>
  <c r="C18" i="4"/>
  <c r="C40" i="4"/>
  <c r="C43" i="1"/>
  <c r="B44" i="1"/>
  <c r="G76" i="2"/>
  <c r="H76" i="2"/>
  <c r="I76" i="2"/>
  <c r="I43" i="1" l="1"/>
  <c r="K43" i="1"/>
  <c r="C44" i="1"/>
  <c r="B45" i="1"/>
  <c r="G10" i="1"/>
  <c r="I10" i="1" s="1"/>
  <c r="I44" i="1" l="1"/>
  <c r="K44" i="1"/>
  <c r="C45" i="1"/>
  <c r="B46" i="1"/>
  <c r="G23" i="7"/>
  <c r="G8" i="7"/>
  <c r="G14" i="7" s="1"/>
  <c r="C10" i="4" s="1"/>
  <c r="C11" i="4" s="1"/>
  <c r="I6" i="5"/>
  <c r="J6" i="5"/>
  <c r="K6" i="5"/>
  <c r="L6" i="5"/>
  <c r="M6" i="5"/>
  <c r="I7" i="5"/>
  <c r="J7" i="5"/>
  <c r="K7" i="5"/>
  <c r="L7" i="5"/>
  <c r="M7" i="5"/>
  <c r="I8" i="5"/>
  <c r="J8" i="5"/>
  <c r="K8" i="5"/>
  <c r="L8" i="5"/>
  <c r="M8" i="5"/>
  <c r="H7" i="5"/>
  <c r="H8" i="5"/>
  <c r="H12" i="5" l="1"/>
  <c r="I45" i="1"/>
  <c r="K45" i="1"/>
  <c r="C46" i="1"/>
  <c r="B47" i="1"/>
  <c r="G29" i="7"/>
  <c r="C32" i="4" s="1"/>
  <c r="C33" i="4" s="1"/>
  <c r="C35" i="4" s="1"/>
  <c r="M12" i="5"/>
  <c r="K12" i="5"/>
  <c r="L12" i="5"/>
  <c r="J12" i="5"/>
  <c r="I12" i="5"/>
  <c r="C38" i="4"/>
  <c r="C36" i="4"/>
  <c r="H16" i="5" l="1"/>
  <c r="I46" i="1"/>
  <c r="K46" i="1"/>
  <c r="C37" i="4"/>
  <c r="C39" i="4" s="1"/>
  <c r="C41" i="4" s="1"/>
  <c r="C43" i="4" s="1"/>
  <c r="C45" i="4" s="1"/>
  <c r="C46" i="4" s="1"/>
  <c r="E9" i="1" s="1"/>
  <c r="C47" i="1"/>
  <c r="B48" i="1"/>
  <c r="C48" i="1" s="1"/>
  <c r="C13" i="4"/>
  <c r="I47" i="1" l="1"/>
  <c r="K47" i="1"/>
  <c r="I48" i="1"/>
  <c r="K48" i="1"/>
  <c r="C14" i="4"/>
  <c r="C15" i="4" s="1"/>
  <c r="C17" i="4" s="1"/>
  <c r="C19" i="4" s="1"/>
  <c r="C21" i="4" s="1"/>
  <c r="C23" i="4" s="1"/>
  <c r="C24" i="4" s="1"/>
  <c r="E10" i="1"/>
  <c r="H9" i="1"/>
  <c r="C9" i="1"/>
  <c r="K9" i="1" s="1"/>
  <c r="C11" i="1"/>
  <c r="K11" i="1" s="1"/>
  <c r="C12" i="1"/>
  <c r="K12" i="1" s="1"/>
  <c r="C13" i="1"/>
  <c r="K13" i="1" s="1"/>
  <c r="C14" i="1"/>
  <c r="K14" i="1" s="1"/>
  <c r="C15" i="1"/>
  <c r="K15" i="1" s="1"/>
  <c r="C16" i="1"/>
  <c r="K16" i="1" s="1"/>
  <c r="C17" i="1"/>
  <c r="K17" i="1" s="1"/>
  <c r="C18" i="1"/>
  <c r="K18" i="1" s="1"/>
  <c r="C19" i="1"/>
  <c r="K19" i="1" s="1"/>
  <c r="C20" i="1"/>
  <c r="K20" i="1" s="1"/>
  <c r="C21" i="1"/>
  <c r="K21" i="1" s="1"/>
  <c r="C22" i="1"/>
  <c r="K22" i="1" s="1"/>
  <c r="C24" i="1"/>
  <c r="K24" i="1" s="1"/>
  <c r="C25" i="1"/>
  <c r="K25" i="1" s="1"/>
  <c r="C26" i="1"/>
  <c r="K26" i="1" s="1"/>
  <c r="C27" i="1"/>
  <c r="K27" i="1" s="1"/>
  <c r="C28" i="1"/>
  <c r="K28" i="1" s="1"/>
  <c r="C29" i="1"/>
  <c r="K29" i="1" s="1"/>
  <c r="C30" i="1"/>
  <c r="K30" i="1" s="1"/>
  <c r="C31" i="1"/>
  <c r="K31" i="1" s="1"/>
  <c r="C32" i="1"/>
  <c r="K32" i="1" s="1"/>
  <c r="C33" i="1"/>
  <c r="K33" i="1" s="1"/>
  <c r="C34" i="1"/>
  <c r="K34" i="1" s="1"/>
  <c r="C35" i="1"/>
  <c r="K35" i="1" s="1"/>
  <c r="C36" i="1"/>
  <c r="K36" i="1" s="1"/>
  <c r="C37" i="1"/>
  <c r="K37" i="1" s="1"/>
  <c r="C38" i="1"/>
  <c r="K38" i="1" s="1"/>
  <c r="K50" i="1" l="1"/>
  <c r="H10" i="1"/>
  <c r="J10" i="1" s="1"/>
  <c r="L10" i="1" s="1"/>
  <c r="E11" i="1"/>
  <c r="J9" i="1"/>
  <c r="G20" i="1"/>
  <c r="I20" i="1" s="1"/>
  <c r="D9" i="1" l="1"/>
  <c r="G37" i="1"/>
  <c r="I37" i="1" s="1"/>
  <c r="G33" i="1"/>
  <c r="I33" i="1" s="1"/>
  <c r="G18" i="1"/>
  <c r="I18" i="1" s="1"/>
  <c r="G15" i="1"/>
  <c r="I15" i="1" s="1"/>
  <c r="G31" i="1"/>
  <c r="I31" i="1" s="1"/>
  <c r="G34" i="1"/>
  <c r="I34" i="1" s="1"/>
  <c r="G27" i="1"/>
  <c r="I27" i="1" s="1"/>
  <c r="G32" i="1"/>
  <c r="I32" i="1" s="1"/>
  <c r="G38" i="1"/>
  <c r="I38" i="1" s="1"/>
  <c r="G16" i="1"/>
  <c r="I16" i="1" s="1"/>
  <c r="G17" i="1"/>
  <c r="I17" i="1" s="1"/>
  <c r="G26" i="1"/>
  <c r="I26" i="1" s="1"/>
  <c r="G13" i="1"/>
  <c r="I13" i="1" s="1"/>
  <c r="G14" i="1"/>
  <c r="I14" i="1" s="1"/>
  <c r="G24" i="1"/>
  <c r="I24" i="1" s="1"/>
  <c r="G22" i="1"/>
  <c r="I22" i="1" s="1"/>
  <c r="G11" i="1"/>
  <c r="I11" i="1" s="1"/>
  <c r="G25" i="1"/>
  <c r="I25" i="1" s="1"/>
  <c r="G9" i="1"/>
  <c r="I9" i="1" s="1"/>
  <c r="L9" i="1" s="1"/>
  <c r="G30" i="1"/>
  <c r="I30" i="1" s="1"/>
  <c r="G23" i="1"/>
  <c r="I23" i="1" s="1"/>
  <c r="G12" i="1"/>
  <c r="I12" i="1" s="1"/>
  <c r="G35" i="1"/>
  <c r="I35" i="1" s="1"/>
  <c r="G19" i="1"/>
  <c r="I19" i="1" s="1"/>
  <c r="G29" i="1"/>
  <c r="I29" i="1" s="1"/>
  <c r="G21" i="1"/>
  <c r="I21" i="1" s="1"/>
  <c r="G36" i="1"/>
  <c r="I36" i="1" s="1"/>
  <c r="G28" i="1"/>
  <c r="I28" i="1" s="1"/>
  <c r="E12" i="1"/>
  <c r="H11" i="1"/>
  <c r="J11" i="1" s="1"/>
  <c r="L11" i="1" l="1"/>
  <c r="I50" i="1"/>
  <c r="D10" i="1"/>
  <c r="M9" i="1"/>
  <c r="H12" i="1"/>
  <c r="J12" i="1" s="1"/>
  <c r="L12" i="1" s="1"/>
  <c r="E13" i="1"/>
  <c r="M10" i="1" l="1"/>
  <c r="D11" i="1"/>
  <c r="D12" i="1" s="1"/>
  <c r="D13" i="1" s="1"/>
  <c r="D14" i="1" s="1"/>
  <c r="M14" i="1" s="1"/>
  <c r="H13" i="1"/>
  <c r="J13" i="1" s="1"/>
  <c r="L13" i="1" s="1"/>
  <c r="E14" i="1"/>
  <c r="D15" i="1" l="1"/>
  <c r="M15" i="1" s="1"/>
  <c r="M12" i="1"/>
  <c r="M13" i="1"/>
  <c r="M11" i="1"/>
  <c r="H14" i="1"/>
  <c r="J14" i="1" s="1"/>
  <c r="L14" i="1" s="1"/>
  <c r="E15" i="1"/>
  <c r="D16" i="1" l="1"/>
  <c r="M16" i="1" s="1"/>
  <c r="H15" i="1"/>
  <c r="J15" i="1" s="1"/>
  <c r="L15" i="1" s="1"/>
  <c r="E16" i="1"/>
  <c r="D17" i="1" l="1"/>
  <c r="M17" i="1" s="1"/>
  <c r="H16" i="1"/>
  <c r="J16" i="1" s="1"/>
  <c r="L16" i="1" s="1"/>
  <c r="E17" i="1"/>
  <c r="D18" i="1" l="1"/>
  <c r="D19" i="1" s="1"/>
  <c r="D20" i="1" s="1"/>
  <c r="M20" i="1" s="1"/>
  <c r="E18" i="1"/>
  <c r="H17" i="1"/>
  <c r="J17" i="1" s="1"/>
  <c r="L17" i="1" s="1"/>
  <c r="D21" i="1" l="1"/>
  <c r="D22" i="1" s="1"/>
  <c r="M18" i="1"/>
  <c r="M19" i="1"/>
  <c r="H18" i="1"/>
  <c r="J18" i="1" s="1"/>
  <c r="L18" i="1" s="1"/>
  <c r="E19" i="1"/>
  <c r="M21" i="1" l="1"/>
  <c r="H19" i="1"/>
  <c r="J19" i="1" s="1"/>
  <c r="L19" i="1" s="1"/>
  <c r="E20" i="1"/>
  <c r="D23" i="1"/>
  <c r="M22" i="1"/>
  <c r="M23" i="1" l="1"/>
  <c r="D24" i="1"/>
  <c r="H20" i="1"/>
  <c r="J20" i="1" s="1"/>
  <c r="L20" i="1" s="1"/>
  <c r="E21" i="1"/>
  <c r="H21" i="1" l="1"/>
  <c r="J21" i="1" s="1"/>
  <c r="L21" i="1" s="1"/>
  <c r="E22" i="1"/>
  <c r="M24" i="1"/>
  <c r="D25" i="1"/>
  <c r="M25" i="1" l="1"/>
  <c r="D26" i="1"/>
  <c r="H22" i="1"/>
  <c r="J22" i="1" s="1"/>
  <c r="L22" i="1" s="1"/>
  <c r="E23" i="1"/>
  <c r="H23" i="1" l="1"/>
  <c r="J23" i="1" s="1"/>
  <c r="L23" i="1" s="1"/>
  <c r="E24" i="1"/>
  <c r="D27" i="1"/>
  <c r="D28" i="1" s="1"/>
  <c r="D29" i="1" s="1"/>
  <c r="D30" i="1" s="1"/>
  <c r="D31" i="1" s="1"/>
  <c r="D32" i="1" s="1"/>
  <c r="D33" i="1" s="1"/>
  <c r="D34" i="1" s="1"/>
  <c r="D35" i="1" s="1"/>
  <c r="D36" i="1" s="1"/>
  <c r="D37" i="1" s="1"/>
  <c r="D38" i="1" s="1"/>
  <c r="D39" i="1" s="1"/>
  <c r="D40" i="1" s="1"/>
  <c r="D41" i="1" s="1"/>
  <c r="D42" i="1" s="1"/>
  <c r="D43" i="1" s="1"/>
  <c r="D44" i="1" s="1"/>
  <c r="M26" i="1"/>
  <c r="M27" i="1" l="1"/>
  <c r="H24" i="1"/>
  <c r="J24" i="1" s="1"/>
  <c r="L24" i="1" s="1"/>
  <c r="E25" i="1"/>
  <c r="H25" i="1" l="1"/>
  <c r="J25" i="1" s="1"/>
  <c r="L25" i="1" s="1"/>
  <c r="E26" i="1"/>
  <c r="M28" i="1"/>
  <c r="M29" i="1" l="1"/>
  <c r="H26" i="1"/>
  <c r="J26" i="1" s="1"/>
  <c r="L26" i="1" s="1"/>
  <c r="E27" i="1"/>
  <c r="H27" i="1" l="1"/>
  <c r="J27" i="1" s="1"/>
  <c r="L27" i="1" s="1"/>
  <c r="E28" i="1"/>
  <c r="M30" i="1"/>
  <c r="M31" i="1" l="1"/>
  <c r="H28" i="1"/>
  <c r="J28" i="1" s="1"/>
  <c r="L28" i="1" s="1"/>
  <c r="E29" i="1"/>
  <c r="H29" i="1" l="1"/>
  <c r="J29" i="1" s="1"/>
  <c r="L29" i="1" s="1"/>
  <c r="E30" i="1"/>
  <c r="M32" i="1"/>
  <c r="M33" i="1" l="1"/>
  <c r="H30" i="1"/>
  <c r="J30" i="1" s="1"/>
  <c r="L30" i="1" s="1"/>
  <c r="E31" i="1"/>
  <c r="H31" i="1" l="1"/>
  <c r="J31" i="1" s="1"/>
  <c r="L31" i="1" s="1"/>
  <c r="E32" i="1"/>
  <c r="M34" i="1"/>
  <c r="M35" i="1" l="1"/>
  <c r="H32" i="1"/>
  <c r="J32" i="1" s="1"/>
  <c r="L32" i="1" s="1"/>
  <c r="E33" i="1"/>
  <c r="H33" i="1" l="1"/>
  <c r="J33" i="1" s="1"/>
  <c r="L33" i="1" s="1"/>
  <c r="E34" i="1"/>
  <c r="M36" i="1"/>
  <c r="M37" i="1" l="1"/>
  <c r="H34" i="1"/>
  <c r="J34" i="1" s="1"/>
  <c r="L34" i="1" s="1"/>
  <c r="E35" i="1"/>
  <c r="M39" i="1" l="1"/>
  <c r="H35" i="1"/>
  <c r="J35" i="1" s="1"/>
  <c r="L35" i="1" s="1"/>
  <c r="E36" i="1"/>
  <c r="M38" i="1"/>
  <c r="M40" i="1" l="1"/>
  <c r="E37" i="1"/>
  <c r="H36" i="1"/>
  <c r="J36" i="1" s="1"/>
  <c r="L36" i="1" s="1"/>
  <c r="M41" i="1" l="1"/>
  <c r="H37" i="1"/>
  <c r="J37" i="1" s="1"/>
  <c r="L37" i="1" s="1"/>
  <c r="E38" i="1"/>
  <c r="E39" i="1" s="1"/>
  <c r="H39" i="1" l="1"/>
  <c r="J39" i="1" s="1"/>
  <c r="L39" i="1" s="1"/>
  <c r="E40" i="1"/>
  <c r="M42" i="1"/>
  <c r="H38" i="1"/>
  <c r="J38" i="1" s="1"/>
  <c r="L38" i="1" s="1"/>
  <c r="H40" i="1" l="1"/>
  <c r="J40" i="1" s="1"/>
  <c r="L40" i="1" s="1"/>
  <c r="E41" i="1"/>
  <c r="M43" i="1"/>
  <c r="H41" i="1" l="1"/>
  <c r="J41" i="1" s="1"/>
  <c r="L41" i="1" s="1"/>
  <c r="E42" i="1"/>
  <c r="D45" i="1"/>
  <c r="M44" i="1"/>
  <c r="H42" i="1" l="1"/>
  <c r="J42" i="1" s="1"/>
  <c r="L42" i="1" s="1"/>
  <c r="E43" i="1"/>
  <c r="D46" i="1"/>
  <c r="M45" i="1"/>
  <c r="H43" i="1" l="1"/>
  <c r="J43" i="1" s="1"/>
  <c r="L43" i="1" s="1"/>
  <c r="E44" i="1"/>
  <c r="D47" i="1"/>
  <c r="M46" i="1"/>
  <c r="H44" i="1" l="1"/>
  <c r="J44" i="1" s="1"/>
  <c r="L44" i="1" s="1"/>
  <c r="E45" i="1"/>
  <c r="M47" i="1"/>
  <c r="D48" i="1"/>
  <c r="M48" i="1" s="1"/>
  <c r="M50" i="1" s="1"/>
  <c r="H45" i="1" l="1"/>
  <c r="J45" i="1" s="1"/>
  <c r="L45" i="1" s="1"/>
  <c r="E46" i="1"/>
  <c r="H46" i="1" l="1"/>
  <c r="J46" i="1" s="1"/>
  <c r="L46" i="1" s="1"/>
  <c r="E47" i="1"/>
  <c r="H47" i="1" l="1"/>
  <c r="J47" i="1" s="1"/>
  <c r="L47" i="1" s="1"/>
  <c r="E48" i="1"/>
  <c r="H48" i="1" s="1"/>
  <c r="J48" i="1" s="1"/>
  <c r="L48" i="1" l="1"/>
  <c r="L50" i="1" s="1"/>
  <c r="H52" i="1" s="1"/>
  <c r="J50" i="1"/>
</calcChain>
</file>

<file path=xl/sharedStrings.xml><?xml version="1.0" encoding="utf-8"?>
<sst xmlns="http://schemas.openxmlformats.org/spreadsheetml/2006/main" count="363" uniqueCount="257">
  <si>
    <t>Wt/(1+t)^n</t>
  </si>
  <si>
    <t xml:space="preserve">Cma (DH/kWh) =  </t>
  </si>
  <si>
    <t>(1+t)^n</t>
  </si>
  <si>
    <t>Année</t>
  </si>
  <si>
    <t>Total</t>
  </si>
  <si>
    <t>Coefficients d'actualisation</t>
  </si>
  <si>
    <t>Charges totales actualisées en MAD</t>
  </si>
  <si>
    <t>en kWh</t>
  </si>
  <si>
    <t>en MAD</t>
  </si>
  <si>
    <t>Charges de pompage</t>
  </si>
  <si>
    <t>Charges fixes d'exploitation actualisées Cfe</t>
  </si>
  <si>
    <t>Charges de pompage actualisées</t>
  </si>
  <si>
    <t>Montant Part en Euro</t>
  </si>
  <si>
    <t>Montant Part en USD</t>
  </si>
  <si>
    <t>Montant de l'offre</t>
  </si>
  <si>
    <t>EURO/MAD</t>
  </si>
  <si>
    <t>USD/MAD</t>
  </si>
  <si>
    <t>MAD</t>
  </si>
  <si>
    <t>CALCUL  ENERGIE PRODUITE (TURBINAGE) ET ENERGIE CONSOMMEE (POMPAGE)</t>
  </si>
  <si>
    <t>Fonctionnement en pompe</t>
  </si>
  <si>
    <t>CARACTERISTIQUES</t>
  </si>
  <si>
    <t>VALEUR</t>
  </si>
  <si>
    <t>Fonctionnement en turbine</t>
  </si>
  <si>
    <t>TABLEAUX I</t>
  </si>
  <si>
    <t>CALCUL DE RENDEMENT TURBINE</t>
  </si>
  <si>
    <t>10/10</t>
  </si>
  <si>
    <t>9/10</t>
  </si>
  <si>
    <t>8/10</t>
  </si>
  <si>
    <t>7/10</t>
  </si>
  <si>
    <t>6/10</t>
  </si>
  <si>
    <t>5/10</t>
  </si>
  <si>
    <r>
      <t>η</t>
    </r>
    <r>
      <rPr>
        <vertAlign val="subscript"/>
        <sz val="11"/>
        <color indexed="8"/>
        <rFont val="Arial"/>
        <family val="2"/>
      </rPr>
      <t>T1</t>
    </r>
  </si>
  <si>
    <r>
      <t>η</t>
    </r>
    <r>
      <rPr>
        <vertAlign val="subscript"/>
        <sz val="11"/>
        <color indexed="8"/>
        <rFont val="Arial"/>
        <family val="2"/>
      </rPr>
      <t>T2</t>
    </r>
  </si>
  <si>
    <r>
      <t>η</t>
    </r>
    <r>
      <rPr>
        <vertAlign val="subscript"/>
        <sz val="11"/>
        <color indexed="8"/>
        <rFont val="Arial"/>
        <family val="2"/>
      </rPr>
      <t>T3</t>
    </r>
  </si>
  <si>
    <r>
      <t>η</t>
    </r>
    <r>
      <rPr>
        <vertAlign val="subscript"/>
        <sz val="11"/>
        <color indexed="8"/>
        <rFont val="Arial"/>
        <family val="2"/>
      </rPr>
      <t>T4</t>
    </r>
  </si>
  <si>
    <r>
      <t>η</t>
    </r>
    <r>
      <rPr>
        <vertAlign val="subscript"/>
        <sz val="11"/>
        <color indexed="8"/>
        <rFont val="Arial"/>
        <family val="2"/>
      </rPr>
      <t>T5</t>
    </r>
  </si>
  <si>
    <r>
      <t>η</t>
    </r>
    <r>
      <rPr>
        <vertAlign val="subscript"/>
        <sz val="11"/>
        <color indexed="8"/>
        <rFont val="Arial"/>
        <family val="2"/>
      </rPr>
      <t>T6</t>
    </r>
  </si>
  <si>
    <t>Rendement moyen pondéré en turbine :</t>
  </si>
  <si>
    <t>CALCUL DE RENDEMENT POMPE</t>
  </si>
  <si>
    <t xml:space="preserve">Rendement moyen pondéré en pompe : </t>
  </si>
  <si>
    <t>TABLEAUX II</t>
  </si>
  <si>
    <t>CALCUL DE RENDEMENT ALTERNATEUR</t>
  </si>
  <si>
    <t>Rendement moyen pondéré de l'alternateur :</t>
  </si>
  <si>
    <t>CALCUL DE RENDEMENT MOTEUR</t>
  </si>
  <si>
    <t>Rendement moyen pondéré du moteur :</t>
  </si>
  <si>
    <t>TABLEAUX III</t>
  </si>
  <si>
    <t>Débit considéré (m3/s)</t>
  </si>
  <si>
    <t>Perte de charge hydraulique</t>
  </si>
  <si>
    <t>Rendement turbine</t>
  </si>
  <si>
    <t>Rendement Alternateur</t>
  </si>
  <si>
    <t>Rendement Pompe</t>
  </si>
  <si>
    <t>Rendement Moteur</t>
  </si>
  <si>
    <t>Rendement hydraulique en turbine</t>
  </si>
  <si>
    <t>Rendement hydraulique en pompe</t>
  </si>
  <si>
    <t>3- Autres hypothèses d'évaluation</t>
  </si>
  <si>
    <t>4.1- Fonctionnement en turbine</t>
  </si>
  <si>
    <t>4.2- Fonctionnement en pompe</t>
  </si>
  <si>
    <t>4- Performances énergétiques garanties</t>
  </si>
  <si>
    <t xml:space="preserve"> Montant Part en MAD</t>
  </si>
  <si>
    <t xml:space="preserve">1- Prix par devise </t>
  </si>
  <si>
    <t>Coût de pompage MAD/kWh</t>
  </si>
  <si>
    <t>Rendement moyen transformateur en turbinage</t>
  </si>
  <si>
    <t>Charge (PU)</t>
  </si>
  <si>
    <t>50% de Charge</t>
  </si>
  <si>
    <t>75% de Charge</t>
  </si>
  <si>
    <t>100% de Charge</t>
  </si>
  <si>
    <t xml:space="preserve">Pertes totales maximales garanties ΣP=PF+PC </t>
  </si>
  <si>
    <t>Rendement moyen transformateur en pompage</t>
  </si>
  <si>
    <r>
      <rPr>
        <b/>
        <sz val="11"/>
        <color indexed="8"/>
        <rFont val="Calibri"/>
        <family val="2"/>
      </rPr>
      <t>η</t>
    </r>
    <r>
      <rPr>
        <b/>
        <vertAlign val="subscript"/>
        <sz val="11"/>
        <color indexed="8"/>
        <rFont val="Calibri"/>
        <family val="2"/>
      </rPr>
      <t>Alternateur</t>
    </r>
    <r>
      <rPr>
        <b/>
        <sz val="11"/>
        <color indexed="8"/>
        <rFont val="Calibri"/>
        <family val="2"/>
      </rPr>
      <t xml:space="preserve"> </t>
    </r>
    <r>
      <rPr>
        <sz val="10"/>
        <rFont val="Arial"/>
        <family val="2"/>
      </rPr>
      <t>=  (η</t>
    </r>
    <r>
      <rPr>
        <vertAlign val="subscript"/>
        <sz val="11"/>
        <color indexed="8"/>
        <rFont val="Calibri"/>
        <family val="2"/>
      </rPr>
      <t>AP</t>
    </r>
    <r>
      <rPr>
        <vertAlign val="subscript"/>
        <sz val="11"/>
        <color indexed="8"/>
        <rFont val="Calibri"/>
        <family val="2"/>
        <scheme val="minor"/>
      </rPr>
      <t>1</t>
    </r>
    <r>
      <rPr>
        <sz val="10"/>
        <rFont val="Calibri"/>
        <family val="2"/>
        <scheme val="minor"/>
      </rPr>
      <t xml:space="preserve"> + η</t>
    </r>
    <r>
      <rPr>
        <vertAlign val="subscript"/>
        <sz val="10"/>
        <rFont val="Calibri"/>
        <family val="2"/>
        <scheme val="minor"/>
      </rPr>
      <t>AP</t>
    </r>
    <r>
      <rPr>
        <vertAlign val="subscript"/>
        <sz val="11"/>
        <color indexed="8"/>
        <rFont val="Calibri"/>
        <family val="2"/>
        <scheme val="minor"/>
      </rPr>
      <t>2</t>
    </r>
    <r>
      <rPr>
        <sz val="10"/>
        <rFont val="Calibri"/>
        <family val="2"/>
        <scheme val="minor"/>
      </rPr>
      <t>)</t>
    </r>
    <r>
      <rPr>
        <sz val="10"/>
        <rFont val="Arial"/>
        <family val="2"/>
      </rPr>
      <t xml:space="preserve">/2  </t>
    </r>
  </si>
  <si>
    <t>TABLEAUX IV</t>
  </si>
  <si>
    <t>TABLEAUX V</t>
  </si>
  <si>
    <t>CALCUL DE RENDEMENT TRANSFORMATEUR EN TURBINAGE</t>
  </si>
  <si>
    <t xml:space="preserve">Pertes Fer (PF) en MW </t>
  </si>
  <si>
    <t xml:space="preserve">Pertes cuivre (PC) en MW </t>
  </si>
  <si>
    <t>CALCUL DE RENDEMENT TRANSFORMATEUR EN POMPAGE</t>
  </si>
  <si>
    <t>Energie produite actualisée en kWh</t>
  </si>
  <si>
    <t>Auxiliaires généraux</t>
  </si>
  <si>
    <t>Puissance consommée (kW)</t>
  </si>
  <si>
    <r>
      <t>Système de réfrigération (P</t>
    </r>
    <r>
      <rPr>
        <vertAlign val="subscript"/>
        <sz val="12"/>
        <rFont val="Calibri Light"/>
        <family val="2"/>
      </rPr>
      <t>S2</t>
    </r>
    <r>
      <rPr>
        <sz val="12"/>
        <rFont val="Calibri Light"/>
        <family val="2"/>
      </rPr>
      <t>)</t>
    </r>
  </si>
  <si>
    <r>
      <t>Compresseurs de procédé (P</t>
    </r>
    <r>
      <rPr>
        <vertAlign val="subscript"/>
        <sz val="12"/>
        <rFont val="Calibri Light"/>
        <family val="2"/>
      </rPr>
      <t>S3</t>
    </r>
    <r>
      <rPr>
        <sz val="12"/>
        <rFont val="Calibri Light"/>
        <family val="2"/>
      </rPr>
      <t>)</t>
    </r>
  </si>
  <si>
    <t>Puissance consommée par les auxiliaires directs d’un groupe (en KW)</t>
  </si>
  <si>
    <t>Auxiliaires de groupe :</t>
  </si>
  <si>
    <t>Puissance consommée par les auxiliaires généraux essentiels (en KW)</t>
  </si>
  <si>
    <r>
      <t>Tableau Basse Tension du groupe (P</t>
    </r>
    <r>
      <rPr>
        <vertAlign val="subscript"/>
        <sz val="12"/>
        <rFont val="Calibri Light"/>
        <family val="2"/>
      </rPr>
      <t>S7</t>
    </r>
    <r>
      <rPr>
        <sz val="12"/>
        <rFont val="Calibri Light"/>
        <family val="2"/>
      </rPr>
      <t>)</t>
    </r>
  </si>
  <si>
    <r>
      <t>Puissance de soutirage en KW en pompage et en turbinage pour un groupe. P</t>
    </r>
    <r>
      <rPr>
        <b/>
        <vertAlign val="subscript"/>
        <sz val="12"/>
        <color rgb="FF000000"/>
        <rFont val="Calibri Light"/>
        <family val="2"/>
      </rPr>
      <t xml:space="preserve">S </t>
    </r>
    <r>
      <rPr>
        <b/>
        <sz val="12"/>
        <color rgb="FF000000"/>
        <rFont val="Calibri Light"/>
        <family val="2"/>
      </rPr>
      <t>= (P</t>
    </r>
    <r>
      <rPr>
        <b/>
        <vertAlign val="subscript"/>
        <sz val="12"/>
        <color rgb="FF000000"/>
        <rFont val="Calibri Light"/>
        <family val="2"/>
      </rPr>
      <t>SG1</t>
    </r>
    <r>
      <rPr>
        <b/>
        <sz val="12"/>
        <color rgb="FF000000"/>
        <rFont val="Calibri Light"/>
        <family val="2"/>
      </rPr>
      <t xml:space="preserve"> + P</t>
    </r>
    <r>
      <rPr>
        <b/>
        <vertAlign val="subscript"/>
        <sz val="12"/>
        <color rgb="FF000000"/>
        <rFont val="Calibri Light"/>
        <family val="2"/>
      </rPr>
      <t>SG2</t>
    </r>
    <r>
      <rPr>
        <b/>
        <sz val="12"/>
        <color rgb="FF000000"/>
        <rFont val="Calibri Light"/>
        <family val="2"/>
      </rPr>
      <t>)</t>
    </r>
  </si>
  <si>
    <t>Puissance transformée (PU) (MVA)</t>
  </si>
  <si>
    <t>STEP El Menzel</t>
  </si>
  <si>
    <t>Comparaison des offres commerciales</t>
  </si>
  <si>
    <t>Taux d'actualisation</t>
  </si>
  <si>
    <t>5 -  Calcul du montant de soumission Ms et Actualisation à la date de Mise en Service</t>
  </si>
  <si>
    <t>2- Taux de change</t>
  </si>
  <si>
    <r>
      <t>Charges fixes d'exploitation Cfe (1,5% du M</t>
    </r>
    <r>
      <rPr>
        <b/>
        <vertAlign val="subscript"/>
        <sz val="12"/>
        <color theme="0"/>
        <rFont val="Arial"/>
        <family val="2"/>
      </rPr>
      <t>S</t>
    </r>
    <r>
      <rPr>
        <b/>
        <sz val="12"/>
        <color theme="0"/>
        <rFont val="Arial"/>
        <family val="2"/>
      </rPr>
      <t xml:space="preserve"> Actualisé)</t>
    </r>
  </si>
  <si>
    <r>
      <t>Energie consommée W</t>
    </r>
    <r>
      <rPr>
        <b/>
        <vertAlign val="subscript"/>
        <sz val="12"/>
        <color theme="0"/>
        <rFont val="Arial"/>
        <family val="2"/>
      </rPr>
      <t xml:space="preserve">p </t>
    </r>
  </si>
  <si>
    <r>
      <t>Energie produite W</t>
    </r>
    <r>
      <rPr>
        <b/>
        <vertAlign val="subscript"/>
        <sz val="12"/>
        <color theme="0"/>
        <rFont val="Arial"/>
        <family val="2"/>
      </rPr>
      <t>T</t>
    </r>
    <r>
      <rPr>
        <b/>
        <sz val="12"/>
        <color theme="0"/>
        <rFont val="Arial"/>
        <family val="2"/>
      </rPr>
      <t xml:space="preserve"> </t>
    </r>
  </si>
  <si>
    <t>Ces cellules sont à renseigner par le soumissionnaire</t>
  </si>
  <si>
    <t>Les cellules blanches (verrouillées) sont des formules de calcul</t>
  </si>
  <si>
    <r>
      <t>Energie Consommée W</t>
    </r>
    <r>
      <rPr>
        <b/>
        <vertAlign val="subscript"/>
        <sz val="12"/>
        <color theme="1"/>
        <rFont val="Calibri"/>
        <family val="2"/>
        <scheme val="minor"/>
      </rPr>
      <t>p</t>
    </r>
  </si>
  <si>
    <r>
      <t>Energie produite W</t>
    </r>
    <r>
      <rPr>
        <b/>
        <vertAlign val="subscript"/>
        <sz val="12"/>
        <color theme="1"/>
        <rFont val="Calibri"/>
        <family val="2"/>
        <scheme val="minor"/>
      </rPr>
      <t>T</t>
    </r>
  </si>
  <si>
    <r>
      <t xml:space="preserve">Débit </t>
    </r>
    <r>
      <rPr>
        <sz val="12"/>
        <color indexed="8"/>
        <rFont val="Calibri"/>
        <family val="2"/>
      </rPr>
      <t xml:space="preserve"> par groupe (m3/s) : Qt </t>
    </r>
  </si>
  <si>
    <r>
      <t xml:space="preserve">Rendement alternateur  </t>
    </r>
    <r>
      <rPr>
        <sz val="12"/>
        <color indexed="8"/>
        <rFont val="Symbol"/>
        <family val="1"/>
        <charset val="2"/>
      </rPr>
      <t>h</t>
    </r>
    <r>
      <rPr>
        <vertAlign val="subscript"/>
        <sz val="12"/>
        <color indexed="8"/>
        <rFont val="Calibri"/>
        <family val="2"/>
      </rPr>
      <t>Alt</t>
    </r>
  </si>
  <si>
    <r>
      <t>Puissance consommée par les auxiliaires par groupe (kW) : P</t>
    </r>
    <r>
      <rPr>
        <vertAlign val="subscript"/>
        <sz val="12"/>
        <color indexed="8"/>
        <rFont val="Calibri"/>
        <family val="2"/>
      </rPr>
      <t>S</t>
    </r>
  </si>
  <si>
    <r>
      <t>Rendement transformateur en mode turbinage</t>
    </r>
    <r>
      <rPr>
        <sz val="12"/>
        <rFont val="Arial"/>
        <family val="2"/>
      </rPr>
      <t xml:space="preserve"> : </t>
    </r>
    <r>
      <rPr>
        <sz val="12"/>
        <color indexed="8"/>
        <rFont val="Symbol"/>
        <family val="1"/>
        <charset val="2"/>
      </rPr>
      <t>h</t>
    </r>
    <r>
      <rPr>
        <vertAlign val="subscript"/>
        <sz val="12"/>
        <color indexed="8"/>
        <rFont val="Calibri"/>
        <family val="2"/>
      </rPr>
      <t>TT</t>
    </r>
  </si>
  <si>
    <r>
      <t>Durée annuelle de fonctionnement  en mode turbinage (heures): T</t>
    </r>
    <r>
      <rPr>
        <vertAlign val="subscript"/>
        <sz val="12"/>
        <color indexed="8"/>
        <rFont val="Calibri"/>
        <family val="2"/>
      </rPr>
      <t>t</t>
    </r>
  </si>
  <si>
    <r>
      <t>Energie annuelle produite  par la STEP (kWh):  W</t>
    </r>
    <r>
      <rPr>
        <vertAlign val="subscript"/>
        <sz val="12"/>
        <color theme="1"/>
        <rFont val="Calibri"/>
        <family val="2"/>
        <scheme val="minor"/>
      </rPr>
      <t>T</t>
    </r>
    <r>
      <rPr>
        <sz val="12"/>
        <color theme="1"/>
        <rFont val="Calibri"/>
        <family val="2"/>
        <scheme val="minor"/>
      </rPr>
      <t xml:space="preserve"> = E</t>
    </r>
    <r>
      <rPr>
        <vertAlign val="subscript"/>
        <sz val="12"/>
        <color theme="1"/>
        <rFont val="Calibri"/>
        <family val="2"/>
        <scheme val="minor"/>
      </rPr>
      <t>T</t>
    </r>
    <r>
      <rPr>
        <sz val="12"/>
        <color indexed="8"/>
        <rFont val="Calibri"/>
        <family val="2"/>
      </rPr>
      <t xml:space="preserve">  x 2</t>
    </r>
  </si>
  <si>
    <r>
      <t>Rendement pompe  η</t>
    </r>
    <r>
      <rPr>
        <vertAlign val="subscript"/>
        <sz val="12"/>
        <color indexed="8"/>
        <rFont val="Calibri"/>
        <family val="2"/>
      </rPr>
      <t>Pompe</t>
    </r>
    <r>
      <rPr>
        <sz val="12"/>
        <rFont val="Arial"/>
        <family val="2"/>
      </rPr>
      <t xml:space="preserve"> </t>
    </r>
  </si>
  <si>
    <r>
      <t>Puissance consommée par les auxiliaires par groupe  (kW): P</t>
    </r>
    <r>
      <rPr>
        <vertAlign val="subscript"/>
        <sz val="12"/>
        <color indexed="8"/>
        <rFont val="Calibri"/>
        <family val="2"/>
      </rPr>
      <t>S</t>
    </r>
  </si>
  <si>
    <r>
      <t>Rendement transformateur : η</t>
    </r>
    <r>
      <rPr>
        <vertAlign val="subscript"/>
        <sz val="12"/>
        <color indexed="8"/>
        <rFont val="Calibri"/>
        <family val="2"/>
      </rPr>
      <t>TP</t>
    </r>
  </si>
  <si>
    <r>
      <t>Durée annuelle de fonctionnement  en mode pompage (heures): T</t>
    </r>
    <r>
      <rPr>
        <vertAlign val="subscript"/>
        <sz val="12"/>
        <color indexed="8"/>
        <rFont val="Calibri"/>
        <family val="2"/>
      </rPr>
      <t>p</t>
    </r>
  </si>
  <si>
    <r>
      <t>Energie annuelle consommée par la STEP (kWh): W</t>
    </r>
    <r>
      <rPr>
        <vertAlign val="subscript"/>
        <sz val="12"/>
        <color theme="1"/>
        <rFont val="Calibri"/>
        <family val="2"/>
        <scheme val="minor"/>
      </rPr>
      <t xml:space="preserve">P </t>
    </r>
    <r>
      <rPr>
        <sz val="12"/>
        <color theme="1"/>
        <rFont val="Calibri"/>
        <family val="2"/>
        <scheme val="minor"/>
      </rPr>
      <t>= E</t>
    </r>
    <r>
      <rPr>
        <vertAlign val="subscript"/>
        <sz val="12"/>
        <color theme="1"/>
        <rFont val="Calibri"/>
        <family val="2"/>
        <scheme val="minor"/>
      </rPr>
      <t>P</t>
    </r>
    <r>
      <rPr>
        <sz val="12"/>
        <color theme="1"/>
        <rFont val="Calibri"/>
        <family val="2"/>
        <scheme val="minor"/>
      </rPr>
      <t xml:space="preserve">  x 2</t>
    </r>
  </si>
  <si>
    <t>Ces cellules correspondent à des hypothèses communes à l'ensemble des soumissionnaires</t>
  </si>
  <si>
    <t xml:space="preserve">Code couleur – Guide de saisie du modèle </t>
  </si>
  <si>
    <t>Description du modèle d'évaluation</t>
  </si>
  <si>
    <t>Type de projet</t>
  </si>
  <si>
    <t>Nom du projet</t>
  </si>
  <si>
    <t xml:space="preserve">STEP EL Menzel </t>
  </si>
  <si>
    <t>Date</t>
  </si>
  <si>
    <t>Auteur du modèle</t>
  </si>
  <si>
    <t>Station de transfert d'énergie par pompage (STEP)</t>
  </si>
  <si>
    <t>Office National de l'Electricité et de l'Eau potable (ONEE)</t>
  </si>
  <si>
    <t>PUISSANCE CONSOMMÉE PAR LES AUXILIAIRES DIRECTS D’UN GROUPE (EN KW)</t>
  </si>
  <si>
    <r>
      <rPr>
        <b/>
        <sz val="14"/>
        <color rgb="FF000000"/>
        <rFont val="Calibri"/>
        <family val="2"/>
      </rPr>
      <t>k</t>
    </r>
    <r>
      <rPr>
        <b/>
        <vertAlign val="subscript"/>
        <sz val="14"/>
        <color indexed="8"/>
        <rFont val="Calibri"/>
        <family val="2"/>
      </rPr>
      <t>1T</t>
    </r>
    <r>
      <rPr>
        <b/>
        <sz val="14"/>
        <rFont val="Arial"/>
        <family val="2"/>
      </rPr>
      <t>=</t>
    </r>
  </si>
  <si>
    <r>
      <rPr>
        <b/>
        <sz val="14"/>
        <color rgb="FF000000"/>
        <rFont val="Calibri"/>
        <family val="2"/>
      </rPr>
      <t>k</t>
    </r>
    <r>
      <rPr>
        <b/>
        <vertAlign val="subscript"/>
        <sz val="14"/>
        <color indexed="8"/>
        <rFont val="Calibri"/>
        <family val="2"/>
      </rPr>
      <t>2T</t>
    </r>
    <r>
      <rPr>
        <b/>
        <sz val="14"/>
        <rFont val="Arial"/>
        <family val="2"/>
      </rPr>
      <t>=</t>
    </r>
  </si>
  <si>
    <t>Circuit individuel</t>
  </si>
  <si>
    <t>Circuits  communs</t>
  </si>
  <si>
    <r>
      <t>Coefficient de perte de charge hydraulique (s</t>
    </r>
    <r>
      <rPr>
        <b/>
        <vertAlign val="superscript"/>
        <sz val="14"/>
        <rFont val="Calibri"/>
        <family val="2"/>
        <scheme val="minor"/>
      </rPr>
      <t>2</t>
    </r>
    <r>
      <rPr>
        <b/>
        <sz val="14"/>
        <rFont val="Calibri"/>
        <family val="2"/>
        <scheme val="minor"/>
      </rPr>
      <t>/m</t>
    </r>
    <r>
      <rPr>
        <b/>
        <vertAlign val="superscript"/>
        <sz val="14"/>
        <rFont val="Calibri"/>
        <family val="2"/>
        <scheme val="minor"/>
      </rPr>
      <t>5</t>
    </r>
    <r>
      <rPr>
        <b/>
        <sz val="14"/>
        <rFont val="Calibri"/>
        <family val="2"/>
        <scheme val="minor"/>
      </rPr>
      <t>)</t>
    </r>
  </si>
  <si>
    <r>
      <rPr>
        <b/>
        <sz val="14"/>
        <color rgb="FF000000"/>
        <rFont val="Calibri"/>
        <family val="2"/>
      </rPr>
      <t>k</t>
    </r>
    <r>
      <rPr>
        <b/>
        <vertAlign val="subscript"/>
        <sz val="14"/>
        <color indexed="8"/>
        <rFont val="Calibri"/>
        <family val="2"/>
      </rPr>
      <t>1P</t>
    </r>
    <r>
      <rPr>
        <b/>
        <sz val="14"/>
        <rFont val="Arial"/>
        <family val="2"/>
      </rPr>
      <t>=</t>
    </r>
  </si>
  <si>
    <r>
      <rPr>
        <b/>
        <sz val="14"/>
        <color rgb="FF000000"/>
        <rFont val="Calibri"/>
        <family val="2"/>
      </rPr>
      <t>k</t>
    </r>
    <r>
      <rPr>
        <b/>
        <vertAlign val="subscript"/>
        <sz val="14"/>
        <color indexed="8"/>
        <rFont val="Calibri"/>
        <family val="2"/>
      </rPr>
      <t>2P</t>
    </r>
    <r>
      <rPr>
        <b/>
        <sz val="14"/>
        <rFont val="Arial"/>
        <family val="2"/>
      </rPr>
      <t>=</t>
    </r>
  </si>
  <si>
    <r>
      <t>Qt 
(m</t>
    </r>
    <r>
      <rPr>
        <b/>
        <vertAlign val="superscript"/>
        <sz val="14"/>
        <rFont val="Calibri"/>
        <family val="2"/>
        <scheme val="minor"/>
      </rPr>
      <t>3</t>
    </r>
    <r>
      <rPr>
        <b/>
        <sz val="14"/>
        <rFont val="Calibri"/>
        <family val="2"/>
        <scheme val="minor"/>
      </rPr>
      <t>/s)</t>
    </r>
  </si>
  <si>
    <r>
      <t>Δh</t>
    </r>
    <r>
      <rPr>
        <b/>
        <vertAlign val="subscript"/>
        <sz val="14"/>
        <rFont val="Calibri"/>
        <family val="2"/>
        <scheme val="minor"/>
      </rPr>
      <t>T</t>
    </r>
    <r>
      <rPr>
        <b/>
        <sz val="14"/>
        <rFont val="Calibri"/>
        <family val="2"/>
        <scheme val="minor"/>
      </rPr>
      <t xml:space="preserve">  
(m)</t>
    </r>
  </si>
  <si>
    <r>
      <t>Ht</t>
    </r>
    <r>
      <rPr>
        <b/>
        <vertAlign val="subscript"/>
        <sz val="14"/>
        <rFont val="Calibri"/>
        <family val="2"/>
        <scheme val="minor"/>
      </rPr>
      <t>nette</t>
    </r>
    <r>
      <rPr>
        <b/>
        <sz val="14"/>
        <rFont val="Calibri"/>
        <family val="2"/>
        <scheme val="minor"/>
      </rPr>
      <t xml:space="preserve"> 
(m)</t>
    </r>
  </si>
  <si>
    <t>Pt 
(MW)</t>
  </si>
  <si>
    <t>ηT pour Ratio P/Pt</t>
  </si>
  <si>
    <r>
      <t>Ht</t>
    </r>
    <r>
      <rPr>
        <b/>
        <vertAlign val="subscript"/>
        <sz val="14"/>
        <rFont val="Calibri"/>
        <family val="2"/>
        <scheme val="minor"/>
      </rPr>
      <t xml:space="preserve">brute </t>
    </r>
    <r>
      <rPr>
        <b/>
        <sz val="14"/>
        <rFont val="Calibri"/>
        <family val="2"/>
        <scheme val="minor"/>
      </rPr>
      <t xml:space="preserve">
(m)</t>
    </r>
  </si>
  <si>
    <r>
      <t>Hp</t>
    </r>
    <r>
      <rPr>
        <b/>
        <vertAlign val="subscript"/>
        <sz val="14"/>
        <rFont val="Calibri"/>
        <family val="2"/>
        <scheme val="minor"/>
      </rPr>
      <t xml:space="preserve">brute </t>
    </r>
    <r>
      <rPr>
        <b/>
        <sz val="14"/>
        <rFont val="Calibri"/>
        <family val="2"/>
        <scheme val="minor"/>
      </rPr>
      <t xml:space="preserve">
(m)</t>
    </r>
  </si>
  <si>
    <r>
      <t>Δh</t>
    </r>
    <r>
      <rPr>
        <b/>
        <vertAlign val="subscript"/>
        <sz val="14"/>
        <rFont val="Calibri"/>
        <family val="2"/>
        <scheme val="minor"/>
      </rPr>
      <t>P</t>
    </r>
    <r>
      <rPr>
        <b/>
        <sz val="14"/>
        <rFont val="Calibri"/>
        <family val="2"/>
        <scheme val="minor"/>
      </rPr>
      <t xml:space="preserve">  
(m)</t>
    </r>
  </si>
  <si>
    <r>
      <t>Hp</t>
    </r>
    <r>
      <rPr>
        <b/>
        <vertAlign val="subscript"/>
        <sz val="14"/>
        <rFont val="Calibri"/>
        <family val="2"/>
        <scheme val="minor"/>
      </rPr>
      <t>nette</t>
    </r>
    <r>
      <rPr>
        <b/>
        <sz val="14"/>
        <rFont val="Calibri"/>
        <family val="2"/>
        <scheme val="minor"/>
      </rPr>
      <t xml:space="preserve"> 
(m)</t>
    </r>
  </si>
  <si>
    <t>Pp 
(MW)</t>
  </si>
  <si>
    <t xml:space="preserve">ηP </t>
  </si>
  <si>
    <r>
      <t>Hauteur de chute brute nominale (m) : Ht</t>
    </r>
    <r>
      <rPr>
        <vertAlign val="subscript"/>
        <sz val="12"/>
        <color indexed="8"/>
        <rFont val="Calibri"/>
        <family val="2"/>
      </rPr>
      <t>brute</t>
    </r>
  </si>
  <si>
    <r>
      <t xml:space="preserve">Pertes de charge hydrauliques </t>
    </r>
    <r>
      <rPr>
        <sz val="12"/>
        <color indexed="8"/>
        <rFont val="Aptos Narrow"/>
        <family val="2"/>
      </rPr>
      <t>Δ</t>
    </r>
    <r>
      <rPr>
        <sz val="10.8"/>
        <color indexed="8"/>
        <rFont val="Calibri"/>
        <family val="2"/>
      </rPr>
      <t>h</t>
    </r>
    <r>
      <rPr>
        <vertAlign val="subscript"/>
        <sz val="10.8"/>
        <color rgb="FF000000"/>
        <rFont val="Calibri"/>
        <family val="2"/>
      </rPr>
      <t>T</t>
    </r>
  </si>
  <si>
    <r>
      <t>Puissance hydraulique par groupe (kW) : P</t>
    </r>
    <r>
      <rPr>
        <vertAlign val="subscript"/>
        <sz val="12"/>
        <color indexed="8"/>
        <rFont val="Calibri"/>
        <family val="2"/>
      </rPr>
      <t>HT</t>
    </r>
    <r>
      <rPr>
        <sz val="12"/>
        <color indexed="8"/>
        <rFont val="Calibri"/>
        <family val="2"/>
      </rPr>
      <t>=998 x 9,795 x Qt x Ht</t>
    </r>
    <r>
      <rPr>
        <vertAlign val="subscript"/>
        <sz val="12"/>
        <color indexed="8"/>
        <rFont val="Calibri"/>
        <family val="2"/>
      </rPr>
      <t xml:space="preserve">nette </t>
    </r>
    <r>
      <rPr>
        <sz val="12"/>
        <color rgb="FF000000"/>
        <rFont val="Calibri"/>
        <family val="2"/>
      </rPr>
      <t>/ 1000</t>
    </r>
  </si>
  <si>
    <r>
      <t xml:space="preserve">Rendements turbine </t>
    </r>
    <r>
      <rPr>
        <vertAlign val="superscript"/>
        <sz val="12"/>
        <color indexed="8"/>
        <rFont val="Calibri"/>
        <family val="2"/>
      </rPr>
      <t xml:space="preserve"> </t>
    </r>
    <r>
      <rPr>
        <sz val="12"/>
        <color indexed="8"/>
        <rFont val="Calibri"/>
        <family val="2"/>
      </rPr>
      <t xml:space="preserve"> </t>
    </r>
    <r>
      <rPr>
        <sz val="12"/>
        <color indexed="8"/>
        <rFont val="Aptos Narrow"/>
        <family val="2"/>
      </rPr>
      <t>η</t>
    </r>
    <r>
      <rPr>
        <vertAlign val="subscript"/>
        <sz val="12"/>
        <color indexed="8"/>
        <rFont val="Calibri"/>
        <family val="2"/>
      </rPr>
      <t xml:space="preserve">Turb    </t>
    </r>
  </si>
  <si>
    <r>
      <t>Puissance à l’arbre de la turbine (kW) : P</t>
    </r>
    <r>
      <rPr>
        <vertAlign val="subscript"/>
        <sz val="12"/>
        <color theme="1"/>
        <rFont val="Calibri"/>
        <family val="2"/>
        <scheme val="minor"/>
      </rPr>
      <t>1T</t>
    </r>
    <r>
      <rPr>
        <sz val="12"/>
        <color theme="1"/>
        <rFont val="Calibri"/>
        <family val="2"/>
        <scheme val="minor"/>
      </rPr>
      <t>= P</t>
    </r>
    <r>
      <rPr>
        <vertAlign val="subscript"/>
        <sz val="12"/>
        <color theme="1"/>
        <rFont val="Calibri"/>
        <family val="2"/>
        <scheme val="minor"/>
      </rPr>
      <t>HT</t>
    </r>
    <r>
      <rPr>
        <sz val="12"/>
        <color theme="1"/>
        <rFont val="Calibri"/>
        <family val="2"/>
        <scheme val="minor"/>
      </rPr>
      <t xml:space="preserve"> x η</t>
    </r>
    <r>
      <rPr>
        <vertAlign val="subscript"/>
        <sz val="12"/>
        <color theme="1"/>
        <rFont val="Calibri"/>
        <family val="2"/>
        <scheme val="minor"/>
      </rPr>
      <t>Turb</t>
    </r>
    <r>
      <rPr>
        <sz val="12"/>
        <color theme="1"/>
        <rFont val="Calibri"/>
        <family val="2"/>
        <scheme val="minor"/>
      </rPr>
      <t xml:space="preserve">    </t>
    </r>
  </si>
  <si>
    <r>
      <t>Puissance aux bornes alternateur</t>
    </r>
    <r>
      <rPr>
        <sz val="11"/>
        <color theme="1"/>
        <rFont val="Calibri"/>
        <family val="2"/>
        <scheme val="minor"/>
      </rPr>
      <t xml:space="preserve"> P</t>
    </r>
    <r>
      <rPr>
        <vertAlign val="subscript"/>
        <sz val="11"/>
        <color indexed="8"/>
        <rFont val="Calibri"/>
        <family val="2"/>
      </rPr>
      <t>2T</t>
    </r>
    <r>
      <rPr>
        <sz val="11"/>
        <rFont val="Arial"/>
        <family val="2"/>
      </rPr>
      <t xml:space="preserve">= </t>
    </r>
    <r>
      <rPr>
        <sz val="11"/>
        <rFont val="Calibri"/>
        <family val="2"/>
      </rPr>
      <t>P</t>
    </r>
    <r>
      <rPr>
        <vertAlign val="subscript"/>
        <sz val="11"/>
        <color indexed="8"/>
        <rFont val="Calibri"/>
        <family val="2"/>
      </rPr>
      <t xml:space="preserve">1T </t>
    </r>
    <r>
      <rPr>
        <sz val="11"/>
        <rFont val="Arial"/>
        <family val="2"/>
      </rPr>
      <t xml:space="preserve">x </t>
    </r>
    <r>
      <rPr>
        <sz val="11"/>
        <color indexed="8"/>
        <rFont val="Symbol"/>
        <family val="1"/>
        <charset val="2"/>
      </rPr>
      <t>h</t>
    </r>
    <r>
      <rPr>
        <vertAlign val="subscript"/>
        <sz val="11"/>
        <color indexed="8"/>
        <rFont val="Calibri"/>
        <family val="2"/>
      </rPr>
      <t>Alt</t>
    </r>
  </si>
  <si>
    <r>
      <t>Hauteur de refoulement brute nominale (m) : Hp</t>
    </r>
    <r>
      <rPr>
        <vertAlign val="subscript"/>
        <sz val="12"/>
        <color indexed="8"/>
        <rFont val="Calibri"/>
        <family val="2"/>
      </rPr>
      <t>brute</t>
    </r>
  </si>
  <si>
    <r>
      <t xml:space="preserve">Hauteur de refoulement nette (m) : Hp </t>
    </r>
    <r>
      <rPr>
        <vertAlign val="subscript"/>
        <sz val="12"/>
        <color indexed="8"/>
        <rFont val="Calibri"/>
        <family val="2"/>
      </rPr>
      <t>nette</t>
    </r>
    <r>
      <rPr>
        <sz val="12"/>
        <rFont val="Arial"/>
        <family val="2"/>
      </rPr>
      <t xml:space="preserve"> = </t>
    </r>
    <r>
      <rPr>
        <sz val="12"/>
        <rFont val="Calibri"/>
        <family val="2"/>
      </rPr>
      <t xml:space="preserve">Hp </t>
    </r>
    <r>
      <rPr>
        <vertAlign val="subscript"/>
        <sz val="12"/>
        <color indexed="8"/>
        <rFont val="Calibri"/>
        <family val="2"/>
      </rPr>
      <t xml:space="preserve">brute </t>
    </r>
    <r>
      <rPr>
        <sz val="12"/>
        <color rgb="FF000000"/>
        <rFont val="Calibri"/>
        <family val="2"/>
      </rPr>
      <t>+ Δh</t>
    </r>
    <r>
      <rPr>
        <vertAlign val="subscript"/>
        <sz val="12"/>
        <color rgb="FF000000"/>
        <rFont val="Calibri"/>
        <family val="2"/>
      </rPr>
      <t>P</t>
    </r>
  </si>
  <si>
    <r>
      <t xml:space="preserve">Débit </t>
    </r>
    <r>
      <rPr>
        <sz val="12"/>
        <rFont val="Calibri"/>
        <family val="2"/>
        <scheme val="minor"/>
      </rPr>
      <t>par groupe (m3/s):  Q</t>
    </r>
    <r>
      <rPr>
        <vertAlign val="subscript"/>
        <sz val="12"/>
        <color indexed="8"/>
        <rFont val="Calibri"/>
        <family val="2"/>
        <scheme val="minor"/>
      </rPr>
      <t>p</t>
    </r>
  </si>
  <si>
    <r>
      <t xml:space="preserve">Puissance hydraulique par groupe (kW) : </t>
    </r>
    <r>
      <rPr>
        <sz val="11"/>
        <color theme="1"/>
        <rFont val="Calibri"/>
        <family val="2"/>
      </rPr>
      <t>P</t>
    </r>
    <r>
      <rPr>
        <vertAlign val="subscript"/>
        <sz val="11"/>
        <color indexed="8"/>
        <rFont val="Calibri"/>
        <family val="2"/>
      </rPr>
      <t>HP</t>
    </r>
    <r>
      <rPr>
        <sz val="11"/>
        <rFont val="Calibri"/>
        <family val="2"/>
      </rPr>
      <t>= 998 x 9,795 x Qp x Hp</t>
    </r>
    <r>
      <rPr>
        <vertAlign val="subscript"/>
        <sz val="11"/>
        <color indexed="8"/>
        <rFont val="Calibri"/>
        <family val="2"/>
      </rPr>
      <t xml:space="preserve">nette </t>
    </r>
    <r>
      <rPr>
        <sz val="11"/>
        <color rgb="FF000000"/>
        <rFont val="Calibri"/>
        <family val="2"/>
      </rPr>
      <t>/ 1000</t>
    </r>
  </si>
  <si>
    <r>
      <t>Puissance mécanique à l’arbre du groupe (kW) : P</t>
    </r>
    <r>
      <rPr>
        <vertAlign val="subscript"/>
        <sz val="12"/>
        <color theme="1"/>
        <rFont val="Calibri"/>
        <family val="2"/>
        <scheme val="minor"/>
      </rPr>
      <t>1P</t>
    </r>
    <r>
      <rPr>
        <sz val="12"/>
        <color theme="1"/>
        <rFont val="Calibri"/>
        <family val="2"/>
        <scheme val="minor"/>
      </rPr>
      <t>= P</t>
    </r>
    <r>
      <rPr>
        <vertAlign val="subscript"/>
        <sz val="12"/>
        <color theme="1"/>
        <rFont val="Calibri"/>
        <family val="2"/>
        <scheme val="minor"/>
      </rPr>
      <t>HT</t>
    </r>
    <r>
      <rPr>
        <sz val="12"/>
        <color theme="1"/>
        <rFont val="Calibri"/>
        <family val="2"/>
        <scheme val="minor"/>
      </rPr>
      <t xml:space="preserve"> / η</t>
    </r>
    <r>
      <rPr>
        <vertAlign val="subscript"/>
        <sz val="12"/>
        <color theme="1"/>
        <rFont val="Calibri"/>
        <family val="2"/>
        <scheme val="minor"/>
      </rPr>
      <t>Pompe</t>
    </r>
    <r>
      <rPr>
        <sz val="12"/>
        <color theme="1"/>
        <rFont val="Calibri"/>
        <family val="2"/>
        <scheme val="minor"/>
      </rPr>
      <t xml:space="preserve">    </t>
    </r>
  </si>
  <si>
    <r>
      <t>Puissance électrique aux bornes du groupe</t>
    </r>
    <r>
      <rPr>
        <sz val="11"/>
        <color theme="1"/>
        <rFont val="Calibri"/>
        <family val="2"/>
        <scheme val="minor"/>
      </rPr>
      <t xml:space="preserve"> (kW) : P</t>
    </r>
    <r>
      <rPr>
        <vertAlign val="subscript"/>
        <sz val="11"/>
        <color indexed="8"/>
        <rFont val="Calibri"/>
        <family val="2"/>
        <scheme val="minor"/>
      </rPr>
      <t xml:space="preserve">2P </t>
    </r>
    <r>
      <rPr>
        <sz val="11"/>
        <rFont val="Calibri"/>
        <family val="2"/>
        <scheme val="minor"/>
      </rPr>
      <t>= P</t>
    </r>
    <r>
      <rPr>
        <vertAlign val="subscript"/>
        <sz val="11"/>
        <color indexed="8"/>
        <rFont val="Calibri"/>
        <family val="2"/>
        <scheme val="minor"/>
      </rPr>
      <t>1P</t>
    </r>
    <r>
      <rPr>
        <sz val="11"/>
        <rFont val="Calibri"/>
        <family val="2"/>
        <scheme val="minor"/>
      </rPr>
      <t>/ η</t>
    </r>
    <r>
      <rPr>
        <vertAlign val="subscript"/>
        <sz val="11"/>
        <color indexed="8"/>
        <rFont val="Calibri"/>
        <family val="2"/>
        <scheme val="minor"/>
      </rPr>
      <t>Moteur</t>
    </r>
  </si>
  <si>
    <r>
      <t>P</t>
    </r>
    <r>
      <rPr>
        <vertAlign val="subscript"/>
        <sz val="12"/>
        <color indexed="8"/>
        <rFont val="Calibri"/>
        <family val="2"/>
      </rPr>
      <t>3P</t>
    </r>
    <r>
      <rPr>
        <sz val="12"/>
        <color indexed="8"/>
        <rFont val="Calibri"/>
        <family val="2"/>
      </rPr>
      <t xml:space="preserve"> = P</t>
    </r>
    <r>
      <rPr>
        <vertAlign val="subscript"/>
        <sz val="12"/>
        <color indexed="8"/>
        <rFont val="Calibri"/>
        <family val="2"/>
      </rPr>
      <t>2P</t>
    </r>
    <r>
      <rPr>
        <sz val="12"/>
        <color indexed="8"/>
        <rFont val="Calibri"/>
        <family val="2"/>
      </rPr>
      <t>+P</t>
    </r>
    <r>
      <rPr>
        <vertAlign val="subscript"/>
        <sz val="12"/>
        <color indexed="8"/>
        <rFont val="Calibri"/>
        <family val="2"/>
      </rPr>
      <t>S</t>
    </r>
  </si>
  <si>
    <r>
      <t>Energie annuelle produite par groupe (kWh)  : E</t>
    </r>
    <r>
      <rPr>
        <vertAlign val="subscript"/>
        <sz val="12"/>
        <color theme="1"/>
        <rFont val="Calibri"/>
        <family val="2"/>
        <scheme val="minor"/>
      </rPr>
      <t>T</t>
    </r>
    <r>
      <rPr>
        <sz val="12"/>
        <color theme="1"/>
        <rFont val="Calibri"/>
        <family val="2"/>
        <scheme val="minor"/>
      </rPr>
      <t xml:space="preserve"> = P</t>
    </r>
    <r>
      <rPr>
        <vertAlign val="subscript"/>
        <sz val="12"/>
        <color indexed="8"/>
        <rFont val="Calibri"/>
        <family val="2"/>
      </rPr>
      <t>4T</t>
    </r>
    <r>
      <rPr>
        <sz val="12"/>
        <color indexed="8"/>
        <rFont val="Calibri"/>
        <family val="2"/>
      </rPr>
      <t xml:space="preserve"> x T</t>
    </r>
    <r>
      <rPr>
        <vertAlign val="subscript"/>
        <sz val="12"/>
        <color indexed="8"/>
        <rFont val="Calibri"/>
        <family val="2"/>
      </rPr>
      <t>t</t>
    </r>
  </si>
  <si>
    <r>
      <rPr>
        <sz val="11"/>
        <color theme="1"/>
        <rFont val="Calibri"/>
        <family val="2"/>
        <scheme val="minor"/>
      </rPr>
      <t>Puissance P</t>
    </r>
    <r>
      <rPr>
        <vertAlign val="subscript"/>
        <sz val="11"/>
        <color indexed="8"/>
        <rFont val="Calibri"/>
        <family val="2"/>
        <scheme val="minor"/>
      </rPr>
      <t>3T</t>
    </r>
    <r>
      <rPr>
        <sz val="11"/>
        <rFont val="Calibri"/>
        <family val="2"/>
        <scheme val="minor"/>
      </rPr>
      <t xml:space="preserve"> = P</t>
    </r>
    <r>
      <rPr>
        <vertAlign val="subscript"/>
        <sz val="11"/>
        <color indexed="8"/>
        <rFont val="Calibri"/>
        <family val="2"/>
        <scheme val="minor"/>
      </rPr>
      <t>2T</t>
    </r>
    <r>
      <rPr>
        <sz val="11"/>
        <rFont val="Calibri"/>
        <family val="2"/>
        <scheme val="minor"/>
      </rPr>
      <t>-P</t>
    </r>
    <r>
      <rPr>
        <vertAlign val="subscript"/>
        <sz val="11"/>
        <color indexed="8"/>
        <rFont val="Calibri"/>
        <family val="2"/>
        <scheme val="minor"/>
      </rPr>
      <t>S</t>
    </r>
  </si>
  <si>
    <r>
      <t>Puissance électrique aux bornes du transformateur (k</t>
    </r>
    <r>
      <rPr>
        <sz val="11"/>
        <color theme="1"/>
        <rFont val="Calibri"/>
        <family val="2"/>
        <scheme val="minor"/>
      </rPr>
      <t>W) : P</t>
    </r>
    <r>
      <rPr>
        <vertAlign val="subscript"/>
        <sz val="11"/>
        <color indexed="8"/>
        <rFont val="Calibri"/>
        <family val="2"/>
        <scheme val="minor"/>
      </rPr>
      <t>4T</t>
    </r>
    <r>
      <rPr>
        <sz val="11"/>
        <rFont val="Calibri"/>
        <family val="2"/>
        <scheme val="minor"/>
      </rPr>
      <t xml:space="preserve"> = P</t>
    </r>
    <r>
      <rPr>
        <vertAlign val="subscript"/>
        <sz val="11"/>
        <color indexed="8"/>
        <rFont val="Calibri"/>
        <family val="2"/>
        <scheme val="minor"/>
      </rPr>
      <t>3T</t>
    </r>
    <r>
      <rPr>
        <sz val="11"/>
        <rFont val="Calibri"/>
        <family val="2"/>
        <scheme val="minor"/>
      </rPr>
      <t xml:space="preserve"> x </t>
    </r>
    <r>
      <rPr>
        <sz val="11"/>
        <color indexed="8"/>
        <rFont val="Calibri"/>
        <family val="2"/>
        <scheme val="minor"/>
      </rPr>
      <t>η</t>
    </r>
    <r>
      <rPr>
        <vertAlign val="subscript"/>
        <sz val="11"/>
        <color indexed="8"/>
        <rFont val="Calibri"/>
        <family val="2"/>
        <scheme val="minor"/>
      </rPr>
      <t>TT</t>
    </r>
  </si>
  <si>
    <r>
      <t>Puissance électrique aux bornes du transformateur (kW)</t>
    </r>
    <r>
      <rPr>
        <sz val="11"/>
        <color theme="1"/>
        <rFont val="Calibri"/>
        <family val="2"/>
        <scheme val="minor"/>
      </rPr>
      <t xml:space="preserve"> : P</t>
    </r>
    <r>
      <rPr>
        <vertAlign val="subscript"/>
        <sz val="11"/>
        <color indexed="8"/>
        <rFont val="Calibri"/>
        <family val="2"/>
      </rPr>
      <t>4P</t>
    </r>
    <r>
      <rPr>
        <sz val="11"/>
        <rFont val="Arial"/>
        <family val="2"/>
      </rPr>
      <t xml:space="preserve"> = P</t>
    </r>
    <r>
      <rPr>
        <vertAlign val="subscript"/>
        <sz val="11"/>
        <color indexed="8"/>
        <rFont val="Calibri"/>
        <family val="2"/>
      </rPr>
      <t>3P</t>
    </r>
    <r>
      <rPr>
        <sz val="11"/>
        <rFont val="Arial"/>
        <family val="2"/>
      </rPr>
      <t>/η</t>
    </r>
    <r>
      <rPr>
        <vertAlign val="subscript"/>
        <sz val="11"/>
        <color indexed="8"/>
        <rFont val="Calibri"/>
        <family val="2"/>
      </rPr>
      <t>TP</t>
    </r>
  </si>
  <si>
    <r>
      <t xml:space="preserve">Energie annuelle consommée par groupe (kWh) </t>
    </r>
    <r>
      <rPr>
        <sz val="11"/>
        <color theme="1"/>
        <rFont val="Calibri"/>
        <family val="2"/>
        <scheme val="minor"/>
      </rPr>
      <t>: E</t>
    </r>
    <r>
      <rPr>
        <vertAlign val="subscript"/>
        <sz val="11"/>
        <color theme="1"/>
        <rFont val="Calibri"/>
        <family val="2"/>
        <scheme val="minor"/>
      </rPr>
      <t>p</t>
    </r>
    <r>
      <rPr>
        <sz val="11"/>
        <color theme="1"/>
        <rFont val="Calibri"/>
        <family val="2"/>
        <scheme val="minor"/>
      </rPr>
      <t xml:space="preserve"> = P</t>
    </r>
    <r>
      <rPr>
        <vertAlign val="subscript"/>
        <sz val="11"/>
        <color indexed="8"/>
        <rFont val="Calibri"/>
        <family val="2"/>
      </rPr>
      <t>4P</t>
    </r>
    <r>
      <rPr>
        <sz val="11"/>
        <rFont val="Arial"/>
        <family val="2"/>
      </rPr>
      <t xml:space="preserve"> x T</t>
    </r>
    <r>
      <rPr>
        <vertAlign val="subscript"/>
        <sz val="11"/>
        <color indexed="8"/>
        <rFont val="Calibri"/>
        <family val="2"/>
      </rPr>
      <t>p</t>
    </r>
  </si>
  <si>
    <r>
      <t>Hauteur de chute nette (m) : Ht</t>
    </r>
    <r>
      <rPr>
        <vertAlign val="subscript"/>
        <sz val="12"/>
        <color indexed="8"/>
        <rFont val="Calibri"/>
        <family val="2"/>
      </rPr>
      <t>nette</t>
    </r>
    <r>
      <rPr>
        <sz val="12"/>
        <color indexed="8"/>
        <rFont val="Calibri"/>
        <family val="2"/>
      </rPr>
      <t xml:space="preserve"> = Ht</t>
    </r>
    <r>
      <rPr>
        <vertAlign val="subscript"/>
        <sz val="12"/>
        <color indexed="8"/>
        <rFont val="Calibri"/>
        <family val="2"/>
      </rPr>
      <t>brute</t>
    </r>
    <r>
      <rPr>
        <sz val="12"/>
        <color theme="1"/>
        <rFont val="Calibri"/>
        <family val="2"/>
        <scheme val="minor"/>
      </rPr>
      <t xml:space="preserve"> - Δh</t>
    </r>
    <r>
      <rPr>
        <vertAlign val="subscript"/>
        <sz val="12"/>
        <color theme="1"/>
        <rFont val="Calibri"/>
        <family val="2"/>
        <scheme val="minor"/>
      </rPr>
      <t>T</t>
    </r>
  </si>
  <si>
    <r>
      <t>Δh</t>
    </r>
    <r>
      <rPr>
        <b/>
        <vertAlign val="subscript"/>
        <sz val="11"/>
        <color rgb="FF000000"/>
        <rFont val="Calibri"/>
        <family val="2"/>
      </rPr>
      <t>T</t>
    </r>
    <r>
      <rPr>
        <b/>
        <sz val="11"/>
        <color indexed="8"/>
        <rFont val="Calibri"/>
        <family val="2"/>
      </rPr>
      <t xml:space="preserve"> = k</t>
    </r>
    <r>
      <rPr>
        <b/>
        <vertAlign val="subscript"/>
        <sz val="11"/>
        <color rgb="FF000000"/>
        <rFont val="Calibri"/>
        <family val="2"/>
      </rPr>
      <t>1T</t>
    </r>
    <r>
      <rPr>
        <b/>
        <sz val="11"/>
        <color indexed="8"/>
        <rFont val="Calibri"/>
        <family val="2"/>
      </rPr>
      <t xml:space="preserve"> x Qt</t>
    </r>
    <r>
      <rPr>
        <b/>
        <vertAlign val="superscript"/>
        <sz val="11"/>
        <color rgb="FF000000"/>
        <rFont val="Calibri"/>
        <family val="2"/>
      </rPr>
      <t>2</t>
    </r>
    <r>
      <rPr>
        <b/>
        <sz val="11"/>
        <color indexed="8"/>
        <rFont val="Calibri"/>
        <family val="2"/>
      </rPr>
      <t xml:space="preserve"> + k</t>
    </r>
    <r>
      <rPr>
        <b/>
        <vertAlign val="subscript"/>
        <sz val="11"/>
        <color rgb="FF000000"/>
        <rFont val="Calibri"/>
        <family val="2"/>
      </rPr>
      <t>2T</t>
    </r>
    <r>
      <rPr>
        <b/>
        <sz val="11"/>
        <color indexed="8"/>
        <rFont val="Calibri"/>
        <family val="2"/>
      </rPr>
      <t xml:space="preserve"> x Q</t>
    </r>
    <r>
      <rPr>
        <b/>
        <vertAlign val="subscript"/>
        <sz val="11"/>
        <color rgb="FF000000"/>
        <rFont val="Calibri"/>
        <family val="2"/>
      </rPr>
      <t>Total</t>
    </r>
    <r>
      <rPr>
        <b/>
        <vertAlign val="superscript"/>
        <sz val="11"/>
        <color rgb="FF000000"/>
        <rFont val="Calibri"/>
        <family val="2"/>
      </rPr>
      <t xml:space="preserve">2 </t>
    </r>
    <r>
      <rPr>
        <b/>
        <sz val="11"/>
        <color indexed="8"/>
        <rFont val="Calibri"/>
        <family val="2"/>
      </rPr>
      <t xml:space="preserve">      </t>
    </r>
  </si>
  <si>
    <r>
      <t>Pertes de charge hydrauliques Δh</t>
    </r>
    <r>
      <rPr>
        <b/>
        <vertAlign val="subscript"/>
        <sz val="11"/>
        <color theme="1"/>
        <rFont val="Calibri"/>
        <family val="2"/>
        <scheme val="minor"/>
      </rPr>
      <t>T</t>
    </r>
  </si>
  <si>
    <r>
      <rPr>
        <sz val="11"/>
        <color rgb="FF000000"/>
        <rFont val="Calibri"/>
        <family val="2"/>
        <scheme val="minor"/>
      </rPr>
      <t>k</t>
    </r>
    <r>
      <rPr>
        <vertAlign val="subscript"/>
        <sz val="11"/>
        <color indexed="8"/>
        <rFont val="Calibri"/>
        <family val="2"/>
        <scheme val="minor"/>
      </rPr>
      <t xml:space="preserve">1T </t>
    </r>
    <r>
      <rPr>
        <sz val="11"/>
        <rFont val="Calibri"/>
        <family val="2"/>
        <scheme val="minor"/>
      </rPr>
      <t>=</t>
    </r>
  </si>
  <si>
    <r>
      <rPr>
        <sz val="11"/>
        <color rgb="FF000000"/>
        <rFont val="Calibri"/>
        <family val="2"/>
        <scheme val="minor"/>
      </rPr>
      <t>k</t>
    </r>
    <r>
      <rPr>
        <vertAlign val="subscript"/>
        <sz val="11"/>
        <color indexed="8"/>
        <rFont val="Calibri"/>
        <family val="2"/>
        <scheme val="minor"/>
      </rPr>
      <t>2T</t>
    </r>
    <r>
      <rPr>
        <sz val="11"/>
        <rFont val="Calibri"/>
        <family val="2"/>
        <scheme val="minor"/>
      </rPr>
      <t>=</t>
    </r>
  </si>
  <si>
    <r>
      <t>Débit considéré (m</t>
    </r>
    <r>
      <rPr>
        <vertAlign val="superscript"/>
        <sz val="11"/>
        <color theme="1"/>
        <rFont val="Calibri"/>
        <family val="2"/>
        <scheme val="minor"/>
      </rPr>
      <t>3</t>
    </r>
    <r>
      <rPr>
        <sz val="11"/>
        <color theme="1"/>
        <rFont val="Calibri"/>
        <family val="2"/>
        <scheme val="minor"/>
      </rPr>
      <t>/s)</t>
    </r>
  </si>
  <si>
    <r>
      <t>Coefficient de perte de charge hydraulique (s</t>
    </r>
    <r>
      <rPr>
        <vertAlign val="superscript"/>
        <sz val="11"/>
        <color theme="1"/>
        <rFont val="Calibri"/>
        <family val="2"/>
        <scheme val="minor"/>
      </rPr>
      <t>2</t>
    </r>
    <r>
      <rPr>
        <sz val="11"/>
        <color theme="1"/>
        <rFont val="Calibri"/>
        <family val="2"/>
        <scheme val="minor"/>
      </rPr>
      <t>/m</t>
    </r>
    <r>
      <rPr>
        <vertAlign val="superscript"/>
        <sz val="11"/>
        <color theme="1"/>
        <rFont val="Calibri"/>
        <family val="2"/>
        <scheme val="minor"/>
      </rPr>
      <t>5</t>
    </r>
    <r>
      <rPr>
        <sz val="11"/>
        <color theme="1"/>
        <rFont val="Calibri"/>
        <family val="2"/>
        <scheme val="minor"/>
      </rPr>
      <t>)</t>
    </r>
  </si>
  <si>
    <t>CALCUL DE PERTES DE CHARGE EN TURBINE</t>
  </si>
  <si>
    <t>CALCUL DE PERTES DE CHARGE EN POMPE</t>
  </si>
  <si>
    <r>
      <t>Qp 
(m</t>
    </r>
    <r>
      <rPr>
        <b/>
        <vertAlign val="superscript"/>
        <sz val="14"/>
        <rFont val="Calibri"/>
        <family val="2"/>
        <scheme val="minor"/>
      </rPr>
      <t>3</t>
    </r>
    <r>
      <rPr>
        <b/>
        <sz val="14"/>
        <rFont val="Calibri"/>
        <family val="2"/>
        <scheme val="minor"/>
      </rPr>
      <t>/s)</t>
    </r>
  </si>
  <si>
    <r>
      <t>Pertes de charge hydrauliques Δh</t>
    </r>
    <r>
      <rPr>
        <b/>
        <vertAlign val="subscript"/>
        <sz val="11"/>
        <color theme="1"/>
        <rFont val="Calibri"/>
        <family val="2"/>
        <scheme val="minor"/>
      </rPr>
      <t>P</t>
    </r>
  </si>
  <si>
    <r>
      <rPr>
        <sz val="11"/>
        <color rgb="FF000000"/>
        <rFont val="Calibri"/>
        <family val="2"/>
        <scheme val="minor"/>
      </rPr>
      <t>k</t>
    </r>
    <r>
      <rPr>
        <vertAlign val="subscript"/>
        <sz val="11"/>
        <color indexed="8"/>
        <rFont val="Calibri"/>
        <family val="2"/>
        <scheme val="minor"/>
      </rPr>
      <t xml:space="preserve">1P </t>
    </r>
    <r>
      <rPr>
        <sz val="11"/>
        <rFont val="Calibri"/>
        <family val="2"/>
        <scheme val="minor"/>
      </rPr>
      <t>=</t>
    </r>
  </si>
  <si>
    <r>
      <rPr>
        <sz val="11"/>
        <color rgb="FF000000"/>
        <rFont val="Calibri"/>
        <family val="2"/>
        <scheme val="minor"/>
      </rPr>
      <t>k</t>
    </r>
    <r>
      <rPr>
        <vertAlign val="subscript"/>
        <sz val="11"/>
        <color indexed="8"/>
        <rFont val="Calibri"/>
        <family val="2"/>
        <scheme val="minor"/>
      </rPr>
      <t xml:space="preserve">2P </t>
    </r>
    <r>
      <rPr>
        <sz val="11"/>
        <rFont val="Calibri"/>
        <family val="2"/>
        <scheme val="minor"/>
      </rPr>
      <t>=</t>
    </r>
  </si>
  <si>
    <r>
      <t>Δh</t>
    </r>
    <r>
      <rPr>
        <b/>
        <vertAlign val="subscript"/>
        <sz val="11"/>
        <color rgb="FF000000"/>
        <rFont val="Calibri"/>
        <family val="2"/>
      </rPr>
      <t>P</t>
    </r>
    <r>
      <rPr>
        <b/>
        <sz val="11"/>
        <color indexed="8"/>
        <rFont val="Calibri"/>
        <family val="2"/>
      </rPr>
      <t xml:space="preserve"> = k</t>
    </r>
    <r>
      <rPr>
        <b/>
        <vertAlign val="subscript"/>
        <sz val="11"/>
        <color rgb="FF000000"/>
        <rFont val="Calibri"/>
        <family val="2"/>
      </rPr>
      <t>1P</t>
    </r>
    <r>
      <rPr>
        <b/>
        <sz val="11"/>
        <color indexed="8"/>
        <rFont val="Calibri"/>
        <family val="2"/>
      </rPr>
      <t xml:space="preserve"> x Qp</t>
    </r>
    <r>
      <rPr>
        <b/>
        <vertAlign val="superscript"/>
        <sz val="11"/>
        <color rgb="FF000000"/>
        <rFont val="Calibri"/>
        <family val="2"/>
      </rPr>
      <t>2</t>
    </r>
    <r>
      <rPr>
        <b/>
        <sz val="11"/>
        <color indexed="8"/>
        <rFont val="Calibri"/>
        <family val="2"/>
      </rPr>
      <t xml:space="preserve"> + k</t>
    </r>
    <r>
      <rPr>
        <b/>
        <vertAlign val="subscript"/>
        <sz val="11"/>
        <color rgb="FF000000"/>
        <rFont val="Calibri"/>
        <family val="2"/>
      </rPr>
      <t>2P</t>
    </r>
    <r>
      <rPr>
        <b/>
        <sz val="11"/>
        <color indexed="8"/>
        <rFont val="Calibri"/>
        <family val="2"/>
      </rPr>
      <t xml:space="preserve"> x Qp</t>
    </r>
    <r>
      <rPr>
        <b/>
        <vertAlign val="subscript"/>
        <sz val="11"/>
        <color rgb="FF000000"/>
        <rFont val="Calibri"/>
        <family val="2"/>
      </rPr>
      <t>Total</t>
    </r>
    <r>
      <rPr>
        <b/>
        <vertAlign val="superscript"/>
        <sz val="11"/>
        <color rgb="FF000000"/>
        <rFont val="Calibri"/>
        <family val="2"/>
      </rPr>
      <t xml:space="preserve">2 </t>
    </r>
    <r>
      <rPr>
        <b/>
        <sz val="11"/>
        <color indexed="8"/>
        <rFont val="Calibri"/>
        <family val="2"/>
      </rPr>
      <t xml:space="preserve">      </t>
    </r>
  </si>
  <si>
    <r>
      <t>Ht</t>
    </r>
    <r>
      <rPr>
        <b/>
        <vertAlign val="subscript"/>
        <sz val="11"/>
        <rFont val="Calibri"/>
        <family val="2"/>
        <scheme val="minor"/>
      </rPr>
      <t xml:space="preserve">brute </t>
    </r>
    <r>
      <rPr>
        <b/>
        <sz val="11"/>
        <rFont val="Calibri"/>
        <family val="2"/>
        <scheme val="minor"/>
      </rPr>
      <t xml:space="preserve">
(m)</t>
    </r>
  </si>
  <si>
    <r>
      <t>Qt 
(m</t>
    </r>
    <r>
      <rPr>
        <b/>
        <vertAlign val="superscript"/>
        <sz val="11"/>
        <rFont val="Calibri"/>
        <family val="2"/>
        <scheme val="minor"/>
      </rPr>
      <t>3</t>
    </r>
    <r>
      <rPr>
        <b/>
        <sz val="11"/>
        <rFont val="Calibri"/>
        <family val="2"/>
        <scheme val="minor"/>
      </rPr>
      <t>/s)</t>
    </r>
  </si>
  <si>
    <r>
      <t>Δh</t>
    </r>
    <r>
      <rPr>
        <b/>
        <vertAlign val="subscript"/>
        <sz val="11"/>
        <rFont val="Calibri"/>
        <family val="2"/>
        <scheme val="minor"/>
      </rPr>
      <t>T</t>
    </r>
    <r>
      <rPr>
        <b/>
        <sz val="11"/>
        <rFont val="Calibri"/>
        <family val="2"/>
        <scheme val="minor"/>
      </rPr>
      <t xml:space="preserve">  
(m)</t>
    </r>
  </si>
  <si>
    <r>
      <t>Ht</t>
    </r>
    <r>
      <rPr>
        <b/>
        <vertAlign val="subscript"/>
        <sz val="11"/>
        <rFont val="Calibri"/>
        <family val="2"/>
        <scheme val="minor"/>
      </rPr>
      <t>nette</t>
    </r>
    <r>
      <rPr>
        <b/>
        <sz val="11"/>
        <rFont val="Calibri"/>
        <family val="2"/>
        <scheme val="minor"/>
      </rPr>
      <t xml:space="preserve"> 
(m)</t>
    </r>
  </si>
  <si>
    <r>
      <t>η</t>
    </r>
    <r>
      <rPr>
        <vertAlign val="subscript"/>
        <sz val="11"/>
        <color indexed="8"/>
        <rFont val="Arial"/>
        <family val="2"/>
      </rPr>
      <t>T moyen =</t>
    </r>
    <r>
      <rPr>
        <sz val="11"/>
        <color theme="1"/>
        <rFont val="Arial"/>
        <family val="2"/>
      </rPr>
      <t xml:space="preserve"> </t>
    </r>
    <r>
      <rPr>
        <sz val="11"/>
        <color theme="1"/>
        <rFont val="Aptos Narrow"/>
        <family val="2"/>
      </rPr>
      <t>Ση</t>
    </r>
    <r>
      <rPr>
        <vertAlign val="subscript"/>
        <sz val="11"/>
        <color theme="1"/>
        <rFont val="Aptos Narrow"/>
        <family val="2"/>
      </rPr>
      <t>T</t>
    </r>
    <r>
      <rPr>
        <sz val="11"/>
        <color theme="1"/>
        <rFont val="Aptos Narrow"/>
        <family val="2"/>
      </rPr>
      <t xml:space="preserve"> / 5</t>
    </r>
  </si>
  <si>
    <r>
      <t>Hp</t>
    </r>
    <r>
      <rPr>
        <b/>
        <vertAlign val="subscript"/>
        <sz val="11"/>
        <rFont val="Calibri"/>
        <family val="2"/>
        <scheme val="minor"/>
      </rPr>
      <t xml:space="preserve">brute </t>
    </r>
    <r>
      <rPr>
        <b/>
        <sz val="11"/>
        <rFont val="Calibri"/>
        <family val="2"/>
        <scheme val="minor"/>
      </rPr>
      <t xml:space="preserve">
(m)</t>
    </r>
  </si>
  <si>
    <r>
      <t>Qp 
(m</t>
    </r>
    <r>
      <rPr>
        <b/>
        <vertAlign val="superscript"/>
        <sz val="11"/>
        <rFont val="Calibri"/>
        <family val="2"/>
        <scheme val="minor"/>
      </rPr>
      <t>3</t>
    </r>
    <r>
      <rPr>
        <b/>
        <sz val="11"/>
        <rFont val="Calibri"/>
        <family val="2"/>
        <scheme val="minor"/>
      </rPr>
      <t>/s)</t>
    </r>
  </si>
  <si>
    <r>
      <t>Δh</t>
    </r>
    <r>
      <rPr>
        <b/>
        <vertAlign val="subscript"/>
        <sz val="11"/>
        <rFont val="Calibri"/>
        <family val="2"/>
        <scheme val="minor"/>
      </rPr>
      <t>P</t>
    </r>
    <r>
      <rPr>
        <b/>
        <sz val="11"/>
        <rFont val="Calibri"/>
        <family val="2"/>
        <scheme val="minor"/>
      </rPr>
      <t xml:space="preserve">  
(m)</t>
    </r>
  </si>
  <si>
    <r>
      <t>Hp</t>
    </r>
    <r>
      <rPr>
        <b/>
        <vertAlign val="subscript"/>
        <sz val="11"/>
        <rFont val="Calibri"/>
        <family val="2"/>
        <scheme val="minor"/>
      </rPr>
      <t>nette</t>
    </r>
    <r>
      <rPr>
        <b/>
        <sz val="11"/>
        <rFont val="Calibri"/>
        <family val="2"/>
        <scheme val="minor"/>
      </rPr>
      <t xml:space="preserve"> 
(m)</t>
    </r>
  </si>
  <si>
    <t>Palt/ Pnalt =</t>
  </si>
  <si>
    <r>
      <t>η</t>
    </r>
    <r>
      <rPr>
        <vertAlign val="subscript"/>
        <sz val="11"/>
        <rFont val="Calibri"/>
        <family val="2"/>
      </rPr>
      <t>A1</t>
    </r>
  </si>
  <si>
    <r>
      <t>η</t>
    </r>
    <r>
      <rPr>
        <vertAlign val="subscript"/>
        <sz val="11"/>
        <rFont val="Calibri"/>
        <family val="2"/>
      </rPr>
      <t>A2</t>
    </r>
  </si>
  <si>
    <r>
      <t>η</t>
    </r>
    <r>
      <rPr>
        <vertAlign val="subscript"/>
        <sz val="11"/>
        <rFont val="Calibri"/>
        <family val="2"/>
      </rPr>
      <t>A3</t>
    </r>
  </si>
  <si>
    <r>
      <t>η</t>
    </r>
    <r>
      <rPr>
        <vertAlign val="subscript"/>
        <sz val="11"/>
        <rFont val="Calibri"/>
        <family val="2"/>
      </rPr>
      <t>A4</t>
    </r>
  </si>
  <si>
    <r>
      <t>η</t>
    </r>
    <r>
      <rPr>
        <vertAlign val="subscript"/>
        <sz val="11"/>
        <rFont val="Calibri"/>
        <family val="2"/>
      </rPr>
      <t>A5</t>
    </r>
  </si>
  <si>
    <r>
      <t>η</t>
    </r>
    <r>
      <rPr>
        <vertAlign val="subscript"/>
        <sz val="11"/>
        <rFont val="Calibri"/>
        <family val="2"/>
      </rPr>
      <t>A6</t>
    </r>
  </si>
  <si>
    <r>
      <t>η</t>
    </r>
    <r>
      <rPr>
        <vertAlign val="subscript"/>
        <sz val="11"/>
        <rFont val="Calibri"/>
        <family val="2"/>
      </rPr>
      <t>A11</t>
    </r>
  </si>
  <si>
    <r>
      <t>η</t>
    </r>
    <r>
      <rPr>
        <vertAlign val="subscript"/>
        <sz val="11"/>
        <rFont val="Calibri"/>
        <family val="2"/>
      </rPr>
      <t>A12</t>
    </r>
  </si>
  <si>
    <r>
      <t>η</t>
    </r>
    <r>
      <rPr>
        <vertAlign val="subscript"/>
        <sz val="11"/>
        <rFont val="Calibri"/>
        <family val="2"/>
      </rPr>
      <t>A13</t>
    </r>
  </si>
  <si>
    <r>
      <t>η</t>
    </r>
    <r>
      <rPr>
        <vertAlign val="subscript"/>
        <sz val="11"/>
        <rFont val="Calibri"/>
        <family val="2"/>
      </rPr>
      <t>A14</t>
    </r>
  </si>
  <si>
    <r>
      <t>η</t>
    </r>
    <r>
      <rPr>
        <vertAlign val="subscript"/>
        <sz val="11"/>
        <rFont val="Calibri"/>
        <family val="2"/>
      </rPr>
      <t>A15</t>
    </r>
  </si>
  <si>
    <r>
      <t>η</t>
    </r>
    <r>
      <rPr>
        <vertAlign val="subscript"/>
        <sz val="11"/>
        <rFont val="Calibri"/>
        <family val="2"/>
      </rPr>
      <t>A16</t>
    </r>
  </si>
  <si>
    <r>
      <t>η</t>
    </r>
    <r>
      <rPr>
        <vertAlign val="subscript"/>
        <sz val="11"/>
        <rFont val="Calibri"/>
        <family val="2"/>
      </rPr>
      <t xml:space="preserve"> Alt 1 _ </t>
    </r>
    <r>
      <rPr>
        <sz val="11"/>
        <rFont val="Calibri"/>
        <family val="2"/>
      </rPr>
      <t>cos ɸ=1</t>
    </r>
  </si>
  <si>
    <r>
      <t>η</t>
    </r>
    <r>
      <rPr>
        <vertAlign val="subscript"/>
        <sz val="11"/>
        <rFont val="Calibri"/>
        <family val="2"/>
      </rPr>
      <t xml:space="preserve"> Alt 2  _ </t>
    </r>
    <r>
      <rPr>
        <sz val="11"/>
        <rFont val="Calibri"/>
        <family val="2"/>
      </rPr>
      <t>cos ɸ=0,85</t>
    </r>
  </si>
  <si>
    <r>
      <rPr>
        <b/>
        <sz val="11"/>
        <color indexed="8"/>
        <rFont val="Calibri"/>
        <family val="2"/>
      </rPr>
      <t>η</t>
    </r>
    <r>
      <rPr>
        <b/>
        <vertAlign val="subscript"/>
        <sz val="11"/>
        <color indexed="8"/>
        <rFont val="Calibri"/>
        <family val="2"/>
      </rPr>
      <t>Alt1</t>
    </r>
    <r>
      <rPr>
        <sz val="10"/>
        <rFont val="Arial"/>
        <family val="2"/>
      </rPr>
      <t xml:space="preserve"> =  (30 x η</t>
    </r>
    <r>
      <rPr>
        <vertAlign val="subscript"/>
        <sz val="11"/>
        <color indexed="8"/>
        <rFont val="Calibri"/>
        <family val="2"/>
      </rPr>
      <t>A1</t>
    </r>
    <r>
      <rPr>
        <sz val="10"/>
        <rFont val="Arial"/>
        <family val="2"/>
      </rPr>
      <t>+ 30 x η</t>
    </r>
    <r>
      <rPr>
        <vertAlign val="subscript"/>
        <sz val="11"/>
        <color indexed="8"/>
        <rFont val="Calibri"/>
        <family val="2"/>
      </rPr>
      <t>A2</t>
    </r>
    <r>
      <rPr>
        <sz val="10"/>
        <rFont val="Arial"/>
        <family val="2"/>
      </rPr>
      <t xml:space="preserve"> + 20 x η</t>
    </r>
    <r>
      <rPr>
        <vertAlign val="subscript"/>
        <sz val="11"/>
        <color indexed="8"/>
        <rFont val="Calibri"/>
        <family val="2"/>
      </rPr>
      <t>A3</t>
    </r>
    <r>
      <rPr>
        <sz val="10"/>
        <rFont val="Arial"/>
        <family val="2"/>
      </rPr>
      <t xml:space="preserve"> + 10 x η</t>
    </r>
    <r>
      <rPr>
        <vertAlign val="subscript"/>
        <sz val="11"/>
        <color indexed="8"/>
        <rFont val="Calibri"/>
        <family val="2"/>
      </rPr>
      <t>A4</t>
    </r>
    <r>
      <rPr>
        <sz val="10"/>
        <rFont val="Arial"/>
        <family val="2"/>
      </rPr>
      <t xml:space="preserve"> + 5 x η</t>
    </r>
    <r>
      <rPr>
        <vertAlign val="subscript"/>
        <sz val="11"/>
        <color indexed="8"/>
        <rFont val="Calibri"/>
        <family val="2"/>
      </rPr>
      <t>A5</t>
    </r>
    <r>
      <rPr>
        <sz val="10"/>
        <rFont val="Arial"/>
        <family val="2"/>
      </rPr>
      <t xml:space="preserve"> + 5 x η</t>
    </r>
    <r>
      <rPr>
        <vertAlign val="subscript"/>
        <sz val="10"/>
        <rFont val="Arial"/>
        <family val="2"/>
      </rPr>
      <t>A6</t>
    </r>
    <r>
      <rPr>
        <sz val="10"/>
        <rFont val="Arial"/>
        <family val="2"/>
      </rPr>
      <t xml:space="preserve">)/100    </t>
    </r>
  </si>
  <si>
    <r>
      <rPr>
        <b/>
        <sz val="11"/>
        <color indexed="8"/>
        <rFont val="Calibri"/>
        <family val="2"/>
      </rPr>
      <t>η</t>
    </r>
    <r>
      <rPr>
        <b/>
        <vertAlign val="subscript"/>
        <sz val="11"/>
        <color indexed="8"/>
        <rFont val="Calibri"/>
        <family val="2"/>
      </rPr>
      <t>Alt2</t>
    </r>
    <r>
      <rPr>
        <sz val="10"/>
        <rFont val="Arial"/>
        <family val="2"/>
      </rPr>
      <t xml:space="preserve"> =  (30 x η</t>
    </r>
    <r>
      <rPr>
        <vertAlign val="subscript"/>
        <sz val="11"/>
        <color indexed="8"/>
        <rFont val="Calibri"/>
        <family val="2"/>
      </rPr>
      <t>A11</t>
    </r>
    <r>
      <rPr>
        <sz val="10"/>
        <rFont val="Arial"/>
        <family val="2"/>
      </rPr>
      <t>+ 30 x η</t>
    </r>
    <r>
      <rPr>
        <vertAlign val="subscript"/>
        <sz val="11"/>
        <color indexed="8"/>
        <rFont val="Calibri"/>
        <family val="2"/>
      </rPr>
      <t>A12</t>
    </r>
    <r>
      <rPr>
        <sz val="10"/>
        <rFont val="Arial"/>
        <family val="2"/>
      </rPr>
      <t xml:space="preserve"> + 20 x η</t>
    </r>
    <r>
      <rPr>
        <vertAlign val="subscript"/>
        <sz val="11"/>
        <color indexed="8"/>
        <rFont val="Calibri"/>
        <family val="2"/>
      </rPr>
      <t>A13</t>
    </r>
    <r>
      <rPr>
        <sz val="10"/>
        <rFont val="Arial"/>
        <family val="2"/>
      </rPr>
      <t xml:space="preserve"> + 10 x η</t>
    </r>
    <r>
      <rPr>
        <vertAlign val="subscript"/>
        <sz val="11"/>
        <color indexed="8"/>
        <rFont val="Calibri"/>
        <family val="2"/>
      </rPr>
      <t>A14</t>
    </r>
    <r>
      <rPr>
        <sz val="10"/>
        <rFont val="Arial"/>
        <family val="2"/>
      </rPr>
      <t xml:space="preserve"> + 5 x η</t>
    </r>
    <r>
      <rPr>
        <vertAlign val="subscript"/>
        <sz val="11"/>
        <color indexed="8"/>
        <rFont val="Calibri"/>
        <family val="2"/>
      </rPr>
      <t>A15</t>
    </r>
    <r>
      <rPr>
        <sz val="10"/>
        <rFont val="Arial"/>
        <family val="2"/>
      </rPr>
      <t xml:space="preserve"> + 5 x η</t>
    </r>
    <r>
      <rPr>
        <vertAlign val="subscript"/>
        <sz val="10"/>
        <rFont val="Arial"/>
        <family val="2"/>
      </rPr>
      <t>A16</t>
    </r>
    <r>
      <rPr>
        <sz val="10"/>
        <rFont val="Arial"/>
        <family val="2"/>
      </rPr>
      <t xml:space="preserve">)/100    </t>
    </r>
  </si>
  <si>
    <t>Hpbrute (m)</t>
  </si>
  <si>
    <r>
      <t>P</t>
    </r>
    <r>
      <rPr>
        <vertAlign val="subscript"/>
        <sz val="11"/>
        <rFont val="Calibri"/>
        <family val="2"/>
      </rPr>
      <t>M</t>
    </r>
    <r>
      <rPr>
        <sz val="11"/>
        <rFont val="Calibri"/>
        <family val="2"/>
      </rPr>
      <t xml:space="preserve"> (MW)</t>
    </r>
  </si>
  <si>
    <r>
      <t>η</t>
    </r>
    <r>
      <rPr>
        <vertAlign val="subscript"/>
        <sz val="11"/>
        <color theme="1"/>
        <rFont val="Calibri"/>
        <family val="2"/>
        <scheme val="minor"/>
      </rPr>
      <t xml:space="preserve">M2  </t>
    </r>
    <r>
      <rPr>
        <sz val="11"/>
        <color theme="1"/>
        <rFont val="Calibri"/>
        <family val="2"/>
        <scheme val="minor"/>
      </rPr>
      <t xml:space="preserve">
cos ɸ=0,95</t>
    </r>
  </si>
  <si>
    <r>
      <t>η</t>
    </r>
    <r>
      <rPr>
        <vertAlign val="subscript"/>
        <sz val="11"/>
        <color theme="1"/>
        <rFont val="Calibri"/>
        <family val="2"/>
        <scheme val="minor"/>
      </rPr>
      <t>M1</t>
    </r>
    <r>
      <rPr>
        <sz val="11"/>
        <color theme="1"/>
        <rFont val="Calibri"/>
        <family val="2"/>
        <scheme val="minor"/>
      </rPr>
      <t xml:space="preserve"> 
 cos ɸ=1</t>
    </r>
  </si>
  <si>
    <r>
      <rPr>
        <b/>
        <sz val="11"/>
        <color indexed="8"/>
        <rFont val="Calibri"/>
        <family val="2"/>
      </rPr>
      <t>η</t>
    </r>
    <r>
      <rPr>
        <b/>
        <vertAlign val="subscript"/>
        <sz val="11"/>
        <color indexed="8"/>
        <rFont val="Calibri"/>
        <family val="2"/>
      </rPr>
      <t>Moteur</t>
    </r>
    <r>
      <rPr>
        <b/>
        <sz val="11"/>
        <color indexed="8"/>
        <rFont val="Calibri"/>
        <family val="2"/>
      </rPr>
      <t xml:space="preserve"> </t>
    </r>
    <r>
      <rPr>
        <sz val="10"/>
        <rFont val="Arial"/>
        <family val="2"/>
      </rPr>
      <t>=  (Ση</t>
    </r>
    <r>
      <rPr>
        <vertAlign val="subscript"/>
        <sz val="10"/>
        <rFont val="Arial"/>
        <family val="2"/>
      </rPr>
      <t>M1</t>
    </r>
    <r>
      <rPr>
        <sz val="10"/>
        <rFont val="Arial"/>
        <family val="2"/>
      </rPr>
      <t>+Ση</t>
    </r>
    <r>
      <rPr>
        <vertAlign val="subscript"/>
        <sz val="10"/>
        <rFont val="Arial"/>
        <family val="2"/>
      </rPr>
      <t>M2</t>
    </r>
    <r>
      <rPr>
        <sz val="10"/>
        <rFont val="Arial"/>
        <family val="2"/>
      </rPr>
      <t>)/10</t>
    </r>
  </si>
  <si>
    <t>n (groupes) =</t>
  </si>
  <si>
    <t>fu1 =</t>
  </si>
  <si>
    <t>fs1 =</t>
  </si>
  <si>
    <r>
      <t>Système de ventilation et climatisation (P</t>
    </r>
    <r>
      <rPr>
        <vertAlign val="subscript"/>
        <sz val="12"/>
        <rFont val="Calibri Light"/>
        <family val="2"/>
      </rPr>
      <t>S1</t>
    </r>
    <r>
      <rPr>
        <sz val="12"/>
        <rFont val="Calibri Light"/>
        <family val="2"/>
      </rPr>
      <t>)</t>
    </r>
  </si>
  <si>
    <r>
      <t>Installation auxiliaire basse tension (ondulateurs statiques) (P</t>
    </r>
    <r>
      <rPr>
        <vertAlign val="subscript"/>
        <sz val="12"/>
        <rFont val="Calibri Light"/>
        <family val="2"/>
      </rPr>
      <t>S4</t>
    </r>
    <r>
      <rPr>
        <sz val="12"/>
        <rFont val="Calibri Light"/>
        <family val="2"/>
      </rPr>
      <t>)</t>
    </r>
  </si>
  <si>
    <r>
      <t>Installation d'une alimentation en courant continu (redresseurs)(P</t>
    </r>
    <r>
      <rPr>
        <vertAlign val="subscript"/>
        <sz val="12"/>
        <rFont val="Calibri Light"/>
        <family val="2"/>
      </rPr>
      <t>S5</t>
    </r>
    <r>
      <rPr>
        <sz val="12"/>
        <rFont val="Calibri Light"/>
        <family val="2"/>
      </rPr>
      <t>)</t>
    </r>
  </si>
  <si>
    <r>
      <t>Système de dénoyage (P</t>
    </r>
    <r>
      <rPr>
        <vertAlign val="subscript"/>
        <sz val="12"/>
        <rFont val="Calibri Light"/>
        <family val="2"/>
      </rPr>
      <t>S6</t>
    </r>
    <r>
      <rPr>
        <sz val="12"/>
        <rFont val="Calibri Light"/>
        <family val="2"/>
      </rPr>
      <t>)</t>
    </r>
  </si>
  <si>
    <r>
      <t>Convertisseur de fréquence (P</t>
    </r>
    <r>
      <rPr>
        <vertAlign val="subscript"/>
        <sz val="12"/>
        <rFont val="Calibri Light"/>
        <family val="2"/>
      </rPr>
      <t>S7</t>
    </r>
    <r>
      <rPr>
        <sz val="12"/>
        <rFont val="Calibri Light"/>
        <family val="2"/>
      </rPr>
      <t>)</t>
    </r>
  </si>
  <si>
    <r>
      <t>Equipment de levage (P</t>
    </r>
    <r>
      <rPr>
        <vertAlign val="subscript"/>
        <sz val="12"/>
        <rFont val="Calibri Light"/>
        <family val="2"/>
      </rPr>
      <t>S8</t>
    </r>
    <r>
      <rPr>
        <sz val="12"/>
        <rFont val="Calibri Light"/>
        <family val="2"/>
      </rPr>
      <t>)</t>
    </r>
  </si>
  <si>
    <r>
      <t>Equipment de protection contre les incendies (P</t>
    </r>
    <r>
      <rPr>
        <vertAlign val="subscript"/>
        <sz val="12"/>
        <rFont val="Calibri Light"/>
        <family val="2"/>
      </rPr>
      <t>S9</t>
    </r>
    <r>
      <rPr>
        <sz val="12"/>
        <rFont val="Calibri Light"/>
        <family val="2"/>
      </rPr>
      <t>)</t>
    </r>
  </si>
  <si>
    <r>
      <t>Equipment de pompage (P</t>
    </r>
    <r>
      <rPr>
        <vertAlign val="subscript"/>
        <sz val="12"/>
        <rFont val="Calibri Light"/>
        <family val="2"/>
      </rPr>
      <t>S10</t>
    </r>
    <r>
      <rPr>
        <sz val="12"/>
        <rFont val="Calibri Light"/>
        <family val="2"/>
      </rPr>
      <t>)</t>
    </r>
  </si>
  <si>
    <r>
      <t>Equipment hydromecanique (P</t>
    </r>
    <r>
      <rPr>
        <vertAlign val="subscript"/>
        <sz val="12"/>
        <rFont val="Calibri Light"/>
        <family val="2"/>
      </rPr>
      <t>S11</t>
    </r>
    <r>
      <rPr>
        <sz val="12"/>
        <rFont val="Calibri Light"/>
        <family val="2"/>
      </rPr>
      <t>)</t>
    </r>
  </si>
  <si>
    <r>
      <t>Total (P</t>
    </r>
    <r>
      <rPr>
        <b/>
        <vertAlign val="subscript"/>
        <sz val="12"/>
        <rFont val="Calibri Light"/>
        <family val="2"/>
      </rPr>
      <t>SU</t>
    </r>
    <r>
      <rPr>
        <b/>
        <sz val="12"/>
        <rFont val="Calibri Light"/>
        <family val="2"/>
      </rPr>
      <t xml:space="preserve"> = Σ (P</t>
    </r>
    <r>
      <rPr>
        <b/>
        <vertAlign val="subscript"/>
        <sz val="12"/>
        <rFont val="Calibri Light"/>
        <family val="2"/>
      </rPr>
      <t>S1</t>
    </r>
    <r>
      <rPr>
        <b/>
        <sz val="12"/>
        <rFont val="Calibri Light"/>
        <family val="2"/>
      </rPr>
      <t xml:space="preserve"> à P</t>
    </r>
    <r>
      <rPr>
        <b/>
        <vertAlign val="subscript"/>
        <sz val="12"/>
        <rFont val="Calibri Light"/>
        <family val="2"/>
      </rPr>
      <t>S11</t>
    </r>
    <r>
      <rPr>
        <b/>
        <sz val="12"/>
        <rFont val="Calibri Light"/>
        <family val="2"/>
      </rPr>
      <t>))</t>
    </r>
  </si>
  <si>
    <r>
      <t>Total par Groupe P</t>
    </r>
    <r>
      <rPr>
        <b/>
        <vertAlign val="subscript"/>
        <sz val="12"/>
        <rFont val="Calibri Light"/>
        <family val="2"/>
      </rPr>
      <t>SG1</t>
    </r>
    <r>
      <rPr>
        <b/>
        <sz val="12"/>
        <rFont val="Calibri Light"/>
        <family val="2"/>
      </rPr>
      <t xml:space="preserve"> = fu1*fs1*P</t>
    </r>
    <r>
      <rPr>
        <b/>
        <vertAlign val="subscript"/>
        <sz val="12"/>
        <rFont val="Calibri Light"/>
        <family val="2"/>
      </rPr>
      <t>SU</t>
    </r>
    <r>
      <rPr>
        <b/>
        <sz val="12"/>
        <rFont val="Calibri Light"/>
        <family val="2"/>
      </rPr>
      <t xml:space="preserve"> *(0,4+0,6/n)</t>
    </r>
  </si>
  <si>
    <t>PUISSANCE CONSOMMÉE PAR LES AUXILIAIRES GÉNÉRAUX   (EN KW)</t>
  </si>
  <si>
    <r>
      <t>Système de regulation (P</t>
    </r>
    <r>
      <rPr>
        <vertAlign val="subscript"/>
        <sz val="12"/>
        <color rgb="FF000000"/>
        <rFont val="Calibri Light"/>
        <family val="2"/>
      </rPr>
      <t>S20</t>
    </r>
    <r>
      <rPr>
        <sz val="12"/>
        <color rgb="FF000000"/>
        <rFont val="Calibri Light"/>
        <family val="2"/>
      </rPr>
      <t>)</t>
    </r>
  </si>
  <si>
    <r>
      <t>Système de drainage de la turbine-pompe (P</t>
    </r>
    <r>
      <rPr>
        <vertAlign val="subscript"/>
        <sz val="12"/>
        <color rgb="FF000000"/>
        <rFont val="Calibri Light"/>
        <family val="2"/>
      </rPr>
      <t>S21</t>
    </r>
    <r>
      <rPr>
        <sz val="12"/>
        <color rgb="FF000000"/>
        <rFont val="Calibri Light"/>
        <family val="2"/>
      </rPr>
      <t>)</t>
    </r>
  </si>
  <si>
    <r>
      <t>Installation du freinage et du levage du rotor (P</t>
    </r>
    <r>
      <rPr>
        <vertAlign val="subscript"/>
        <sz val="12"/>
        <color rgb="FF000000"/>
        <rFont val="Calibri Light"/>
        <family val="2"/>
      </rPr>
      <t>S22</t>
    </r>
    <r>
      <rPr>
        <sz val="12"/>
        <color rgb="FF000000"/>
        <rFont val="Calibri Light"/>
        <family val="2"/>
      </rPr>
      <t>)</t>
    </r>
  </si>
  <si>
    <r>
      <t>Éléments chauffants du générateur (P</t>
    </r>
    <r>
      <rPr>
        <vertAlign val="subscript"/>
        <sz val="12"/>
        <color rgb="FF000000"/>
        <rFont val="Calibri Light"/>
        <family val="2"/>
      </rPr>
      <t>S23</t>
    </r>
    <r>
      <rPr>
        <sz val="12"/>
        <color rgb="FF000000"/>
        <rFont val="Calibri Light"/>
        <family val="2"/>
      </rPr>
      <t>)</t>
    </r>
  </si>
  <si>
    <r>
      <t>Ventilation et refroidissement du générateur (P</t>
    </r>
    <r>
      <rPr>
        <vertAlign val="subscript"/>
        <sz val="12"/>
        <color rgb="FF000000"/>
        <rFont val="Calibri Light"/>
        <family val="2"/>
      </rPr>
      <t>S24</t>
    </r>
    <r>
      <rPr>
        <sz val="12"/>
        <color rgb="FF000000"/>
        <rFont val="Calibri Light"/>
        <family val="2"/>
      </rPr>
      <t>)</t>
    </r>
  </si>
  <si>
    <r>
      <t>Système d'excitation et de régulation de tension (P</t>
    </r>
    <r>
      <rPr>
        <vertAlign val="subscript"/>
        <sz val="12"/>
        <color rgb="FF000000"/>
        <rFont val="Calibri Light"/>
        <family val="2"/>
      </rPr>
      <t>S25</t>
    </r>
    <r>
      <rPr>
        <sz val="12"/>
        <color rgb="FF000000"/>
        <rFont val="Calibri Light"/>
        <family val="2"/>
      </rPr>
      <t>)</t>
    </r>
  </si>
  <si>
    <r>
      <t>Ventilation du transformateur MT/HT (P</t>
    </r>
    <r>
      <rPr>
        <vertAlign val="subscript"/>
        <sz val="12"/>
        <color rgb="FF000000"/>
        <rFont val="Calibri Light"/>
        <family val="2"/>
      </rPr>
      <t>S26</t>
    </r>
    <r>
      <rPr>
        <sz val="12"/>
        <color rgb="FF000000"/>
        <rFont val="Calibri Light"/>
        <family val="2"/>
      </rPr>
      <t>)</t>
    </r>
  </si>
  <si>
    <r>
      <t>Total (P</t>
    </r>
    <r>
      <rPr>
        <b/>
        <vertAlign val="subscript"/>
        <sz val="12"/>
        <rFont val="Calibri Light"/>
        <family val="2"/>
      </rPr>
      <t>S</t>
    </r>
    <r>
      <rPr>
        <b/>
        <sz val="12"/>
        <rFont val="Calibri Light"/>
        <family val="2"/>
      </rPr>
      <t xml:space="preserve"> = Σ (P</t>
    </r>
    <r>
      <rPr>
        <b/>
        <vertAlign val="subscript"/>
        <sz val="12"/>
        <rFont val="Calibri Light"/>
        <family val="2"/>
      </rPr>
      <t>S20</t>
    </r>
    <r>
      <rPr>
        <b/>
        <sz val="12"/>
        <rFont val="Calibri Light"/>
        <family val="2"/>
      </rPr>
      <t xml:space="preserve"> à P</t>
    </r>
    <r>
      <rPr>
        <b/>
        <vertAlign val="subscript"/>
        <sz val="12"/>
        <rFont val="Calibri Light"/>
        <family val="2"/>
      </rPr>
      <t>S26</t>
    </r>
    <r>
      <rPr>
        <b/>
        <sz val="12"/>
        <rFont val="Calibri Light"/>
        <family val="2"/>
      </rPr>
      <t>))</t>
    </r>
  </si>
  <si>
    <t>fu2 =</t>
  </si>
  <si>
    <r>
      <t>Total par Groupe P</t>
    </r>
    <r>
      <rPr>
        <b/>
        <vertAlign val="subscript"/>
        <sz val="12"/>
        <rFont val="Calibri Light"/>
        <family val="2"/>
      </rPr>
      <t>SG2</t>
    </r>
    <r>
      <rPr>
        <b/>
        <sz val="12"/>
        <rFont val="Calibri Light"/>
        <family val="2"/>
      </rPr>
      <t xml:space="preserve"> = fu2*fs2*P</t>
    </r>
    <r>
      <rPr>
        <b/>
        <vertAlign val="subscript"/>
        <sz val="12"/>
        <rFont val="Calibri Light"/>
        <family val="2"/>
      </rPr>
      <t>S</t>
    </r>
  </si>
  <si>
    <t>fs2 =</t>
  </si>
  <si>
    <r>
      <t>Notes :f</t>
    </r>
    <r>
      <rPr>
        <vertAlign val="subscript"/>
        <sz val="11"/>
        <rFont val="Calibri"/>
        <family val="2"/>
      </rPr>
      <t>s</t>
    </r>
    <r>
      <rPr>
        <sz val="11"/>
        <rFont val="Calibri"/>
        <family val="2"/>
      </rPr>
      <t>=facteur de simultanéité ; f</t>
    </r>
    <r>
      <rPr>
        <vertAlign val="subscript"/>
        <sz val="11"/>
        <rFont val="Calibri"/>
        <family val="2"/>
      </rPr>
      <t>u</t>
    </r>
    <r>
      <rPr>
        <sz val="11"/>
        <rFont val="Calibri"/>
        <family val="2"/>
      </rPr>
      <t>=facteur d'utilisation</t>
    </r>
  </si>
  <si>
    <r>
      <t>P</t>
    </r>
    <r>
      <rPr>
        <vertAlign val="subscript"/>
        <sz val="11"/>
        <rFont val="Calibri"/>
        <family val="2"/>
      </rPr>
      <t>n_trans</t>
    </r>
    <r>
      <rPr>
        <sz val="11"/>
        <rFont val="Calibri"/>
        <family val="2"/>
      </rPr>
      <t>=</t>
    </r>
  </si>
  <si>
    <r>
      <t>Rendement à 75 °C : η</t>
    </r>
    <r>
      <rPr>
        <b/>
        <vertAlign val="subscript"/>
        <sz val="10"/>
        <color rgb="FF000000"/>
        <rFont val="Calibri"/>
        <family val="2"/>
      </rPr>
      <t xml:space="preserve">T </t>
    </r>
    <r>
      <rPr>
        <b/>
        <sz val="10"/>
        <color rgb="FF000000"/>
        <rFont val="Calibri"/>
        <family val="2"/>
      </rPr>
      <t>= (PU- ΣP)/PU</t>
    </r>
  </si>
  <si>
    <t>Rendement moyen pondéré  transformateur en turbinage:</t>
  </si>
  <si>
    <r>
      <t>η</t>
    </r>
    <r>
      <rPr>
        <vertAlign val="subscript"/>
        <sz val="10"/>
        <rFont val="Arial"/>
        <family val="2"/>
      </rPr>
      <t>TT</t>
    </r>
    <r>
      <rPr>
        <sz val="10"/>
        <rFont val="Arial"/>
        <family val="2"/>
      </rPr>
      <t>=(20 x η</t>
    </r>
    <r>
      <rPr>
        <vertAlign val="subscript"/>
        <sz val="10"/>
        <rFont val="Arial"/>
        <family val="2"/>
      </rPr>
      <t>T100</t>
    </r>
    <r>
      <rPr>
        <sz val="10"/>
        <rFont val="Arial"/>
        <family val="2"/>
      </rPr>
      <t>+ 50 x η</t>
    </r>
    <r>
      <rPr>
        <vertAlign val="subscript"/>
        <sz val="10"/>
        <rFont val="Arial"/>
        <family val="2"/>
      </rPr>
      <t>T75</t>
    </r>
    <r>
      <rPr>
        <sz val="10"/>
        <rFont val="Arial"/>
        <family val="2"/>
      </rPr>
      <t>+ 30 x η</t>
    </r>
    <r>
      <rPr>
        <vertAlign val="subscript"/>
        <sz val="10"/>
        <rFont val="Arial"/>
        <family val="2"/>
      </rPr>
      <t>T50</t>
    </r>
    <r>
      <rPr>
        <sz val="10"/>
        <rFont val="Arial"/>
        <family val="2"/>
      </rPr>
      <t>) /100</t>
    </r>
  </si>
  <si>
    <r>
      <t>Hp</t>
    </r>
    <r>
      <rPr>
        <vertAlign val="subscript"/>
        <sz val="10"/>
        <color rgb="FF000000"/>
        <rFont val="Calibri"/>
        <family val="2"/>
      </rPr>
      <t>brute=</t>
    </r>
  </si>
  <si>
    <t>Puissance transformée (PP) (MVA)</t>
  </si>
  <si>
    <r>
      <t>Rendement à 75 °C : η</t>
    </r>
    <r>
      <rPr>
        <b/>
        <vertAlign val="subscript"/>
        <sz val="10"/>
        <color rgb="FF000000"/>
        <rFont val="Calibri"/>
        <family val="2"/>
      </rPr>
      <t xml:space="preserve">T </t>
    </r>
    <r>
      <rPr>
        <b/>
        <sz val="10"/>
        <color rgb="FF000000"/>
        <rFont val="Calibri"/>
        <family val="2"/>
      </rPr>
      <t>= (PP- ΣP)/PP</t>
    </r>
  </si>
  <si>
    <r>
      <t>η</t>
    </r>
    <r>
      <rPr>
        <vertAlign val="subscript"/>
        <sz val="10"/>
        <rFont val="Arial"/>
        <family val="2"/>
      </rPr>
      <t>TP</t>
    </r>
    <r>
      <rPr>
        <sz val="10"/>
        <rFont val="Arial"/>
        <family val="2"/>
      </rPr>
      <t>=Ση</t>
    </r>
    <r>
      <rPr>
        <vertAlign val="subscript"/>
        <sz val="10"/>
        <rFont val="Arial"/>
        <family val="2"/>
      </rPr>
      <t>T</t>
    </r>
    <r>
      <rPr>
        <sz val="10"/>
        <rFont val="Arial"/>
        <family val="2"/>
      </rPr>
      <t xml:space="preserve"> /5</t>
    </r>
  </si>
  <si>
    <t>Auxiliaires de groupe</t>
  </si>
  <si>
    <r>
      <t>Hp</t>
    </r>
    <r>
      <rPr>
        <vertAlign val="subscript"/>
        <sz val="14"/>
        <color rgb="FF000000"/>
        <rFont val="Calibri"/>
        <family val="2"/>
      </rPr>
      <t>brute=</t>
    </r>
  </si>
  <si>
    <r>
      <rPr>
        <b/>
        <sz val="16"/>
        <color theme="1"/>
        <rFont val="Calibri"/>
        <family val="2"/>
        <scheme val="minor"/>
      </rPr>
      <t xml:space="preserve">Note : </t>
    </r>
    <r>
      <rPr>
        <sz val="16"/>
        <color theme="1"/>
        <rFont val="Calibri"/>
        <family val="2"/>
        <scheme val="minor"/>
      </rPr>
      <t>Les pertes de charge, les puissances et les hauteurs de chute nettes, sauf dans le cas nominal où la hauteur de chute brute est considérée, sont automatiquement calculées sur la base des indices K</t>
    </r>
    <r>
      <rPr>
        <vertAlign val="subscript"/>
        <sz val="16"/>
        <color theme="1"/>
        <rFont val="Calibri"/>
        <family val="2"/>
        <scheme val="minor"/>
      </rPr>
      <t>1P</t>
    </r>
    <r>
      <rPr>
        <sz val="16"/>
        <color theme="1"/>
        <rFont val="Calibri"/>
        <family val="2"/>
        <scheme val="minor"/>
      </rPr>
      <t xml:space="preserve"> et K</t>
    </r>
    <r>
      <rPr>
        <vertAlign val="subscript"/>
        <sz val="16"/>
        <color theme="1"/>
        <rFont val="Calibri"/>
        <family val="2"/>
        <scheme val="minor"/>
      </rPr>
      <t>2P</t>
    </r>
    <r>
      <rPr>
        <sz val="16"/>
        <color theme="1"/>
        <rFont val="Calibri"/>
        <family val="2"/>
        <scheme val="minor"/>
      </rPr>
      <t xml:space="preserve"> indiqués, pour la situation avec un seul groupe en fonctionnement.</t>
    </r>
  </si>
  <si>
    <r>
      <rPr>
        <b/>
        <sz val="16"/>
        <color theme="1"/>
        <rFont val="Calibri"/>
        <family val="2"/>
        <scheme val="minor"/>
      </rPr>
      <t xml:space="preserve">Note : </t>
    </r>
    <r>
      <rPr>
        <sz val="16"/>
        <color theme="1"/>
        <rFont val="Calibri"/>
        <family val="2"/>
        <scheme val="minor"/>
      </rPr>
      <t>Les pertes de charge, les puissances et les hauteurs de refoulement nettes sont automatiquement calculées sur la base des indices K</t>
    </r>
    <r>
      <rPr>
        <vertAlign val="subscript"/>
        <sz val="16"/>
        <color theme="1"/>
        <rFont val="Calibri"/>
        <family val="2"/>
        <scheme val="minor"/>
      </rPr>
      <t>1P</t>
    </r>
    <r>
      <rPr>
        <sz val="16"/>
        <color theme="1"/>
        <rFont val="Calibri"/>
        <family val="2"/>
        <scheme val="minor"/>
      </rPr>
      <t xml:space="preserve"> et K</t>
    </r>
    <r>
      <rPr>
        <vertAlign val="subscript"/>
        <sz val="16"/>
        <color theme="1"/>
        <rFont val="Calibri"/>
        <family val="2"/>
        <scheme val="minor"/>
      </rPr>
      <t>2P</t>
    </r>
    <r>
      <rPr>
        <sz val="16"/>
        <color theme="1"/>
        <rFont val="Calibri"/>
        <family val="2"/>
        <scheme val="minor"/>
      </rPr>
      <t xml:space="preserve"> indiqués, pour la situation avec un seul groupe en fonctionnement.</t>
    </r>
  </si>
  <si>
    <t>Ms actualisé à la date de Mise en Service</t>
  </si>
  <si>
    <t>Montant de soumission (MAD)</t>
  </si>
  <si>
    <t>Montant de soumission converti (MAD)</t>
  </si>
  <si>
    <t xml:space="preserve">  9/10</t>
  </si>
  <si>
    <t xml:space="preserve">  7/10</t>
  </si>
  <si>
    <t xml:space="preserve">STEP El Menzel </t>
  </si>
  <si>
    <r>
      <t xml:space="preserve">Rendement moteur  </t>
    </r>
    <r>
      <rPr>
        <sz val="8"/>
        <color theme="1"/>
        <rFont val="Calibri"/>
        <family val="2"/>
        <scheme val="minor"/>
      </rPr>
      <t xml:space="preserve">ηMoteur </t>
    </r>
  </si>
  <si>
    <t xml:space="preserve">Les cellules bleu (verrouillées) sont des résultats </t>
  </si>
  <si>
    <t>Pt 
(KW)</t>
  </si>
  <si>
    <t>Pp 
(kW)</t>
  </si>
  <si>
    <t>Soumissionnaire :</t>
  </si>
  <si>
    <t>Annuité CAPEX actualisée</t>
  </si>
  <si>
    <t>Fₙ/(1+t)^n en MAD</t>
  </si>
  <si>
    <t xml:space="preserve">Annuité de remboursement du CAPEX </t>
  </si>
  <si>
    <t>s/m2</t>
  </si>
  <si>
    <t>AO N° SP4130189</t>
  </si>
  <si>
    <t>Taux d'intérêt de l'emprunt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</si>
</sst>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 &quot;€&quot;_-;\-* #,##0.00\ &quot;€&quot;_-;_-* &quot;-&quot;??\ &quot;€&quot;_-;_-@_-"/>
    <numFmt numFmtId="165" formatCode="_-* #,##0.00\ _€_-;\-* #,##0.00\ _€_-;_-* &quot;-&quot;??\ _€_-;_-@_-"/>
    <numFmt numFmtId="166" formatCode="0.0000"/>
    <numFmt numFmtId="167" formatCode="0.0%"/>
    <numFmt numFmtId="168" formatCode="_-* #,##0\ _€_-;\-* #,##0\ _€_-;_-* &quot;-&quot;??\ _€_-;_-@_-"/>
    <numFmt numFmtId="169" formatCode="#,##0.0000"/>
    <numFmt numFmtId="170" formatCode="0.0"/>
    <numFmt numFmtId="171" formatCode="#,##0.000"/>
    <numFmt numFmtId="172" formatCode="#,##0.000000"/>
    <numFmt numFmtId="173" formatCode="#,##0.0"/>
  </numFmts>
  <fonts count="13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color indexed="12"/>
      <name val="Arial"/>
      <family val="2"/>
    </font>
    <font>
      <sz val="10"/>
      <name val="Arial"/>
      <family val="2"/>
    </font>
    <font>
      <b/>
      <sz val="10"/>
      <name val="Arial"/>
      <family val="2"/>
    </font>
    <font>
      <b/>
      <sz val="10"/>
      <color indexed="10"/>
      <name val="Arial"/>
      <family val="2"/>
    </font>
    <font>
      <b/>
      <sz val="20"/>
      <name val="Arial"/>
      <family val="2"/>
    </font>
    <font>
      <b/>
      <sz val="11"/>
      <color theme="1"/>
      <name val="Calibri"/>
      <family val="2"/>
      <scheme val="minor"/>
    </font>
    <font>
      <b/>
      <sz val="11"/>
      <color indexed="14"/>
      <name val="Arial"/>
      <family val="2"/>
    </font>
    <font>
      <b/>
      <u/>
      <sz val="10"/>
      <name val="Arial"/>
      <family val="2"/>
    </font>
    <font>
      <sz val="11"/>
      <name val="Calibri"/>
      <family val="2"/>
      <scheme val="minor"/>
    </font>
    <font>
      <sz val="12"/>
      <color theme="1"/>
      <name val="Calibri"/>
      <family val="2"/>
      <scheme val="minor"/>
    </font>
    <font>
      <b/>
      <sz val="12"/>
      <name val="Arial"/>
      <family val="2"/>
    </font>
    <font>
      <vertAlign val="subscript"/>
      <sz val="11"/>
      <color indexed="8"/>
      <name val="Calibri"/>
      <family val="2"/>
    </font>
    <font>
      <b/>
      <sz val="11"/>
      <color rgb="FFFF0000"/>
      <name val="Calibri"/>
      <family val="2"/>
      <scheme val="minor"/>
    </font>
    <font>
      <b/>
      <sz val="11"/>
      <color theme="1"/>
      <name val="Arial"/>
      <family val="2"/>
    </font>
    <font>
      <sz val="11"/>
      <color theme="1"/>
      <name val="Arial"/>
      <family val="2"/>
    </font>
    <font>
      <b/>
      <vertAlign val="subscript"/>
      <sz val="11"/>
      <color indexed="8"/>
      <name val="Calibri"/>
      <family val="2"/>
    </font>
    <font>
      <vertAlign val="subscript"/>
      <sz val="11"/>
      <color indexed="8"/>
      <name val="Arial"/>
      <family val="2"/>
    </font>
    <font>
      <b/>
      <sz val="11"/>
      <color indexed="8"/>
      <name val="Calibri"/>
      <family val="2"/>
    </font>
    <font>
      <sz val="12"/>
      <name val="Calibri"/>
      <family val="2"/>
      <scheme val="minor"/>
    </font>
    <font>
      <sz val="14"/>
      <name val="Calibri"/>
      <family val="2"/>
      <scheme val="minor"/>
    </font>
    <font>
      <sz val="14"/>
      <color theme="1"/>
      <name val="Calibri"/>
      <family val="2"/>
      <scheme val="minor"/>
    </font>
    <font>
      <b/>
      <sz val="14"/>
      <color theme="1"/>
      <name val="Calibri"/>
      <family val="2"/>
      <scheme val="minor"/>
    </font>
    <font>
      <sz val="14"/>
      <color theme="1"/>
      <name val="Arial"/>
      <family val="2"/>
    </font>
    <font>
      <b/>
      <sz val="14"/>
      <name val="Calibri"/>
      <family val="2"/>
      <scheme val="minor"/>
    </font>
    <font>
      <b/>
      <sz val="11"/>
      <name val="Calibri"/>
      <family val="2"/>
    </font>
    <font>
      <sz val="11"/>
      <name val="Calibri"/>
      <family val="2"/>
    </font>
    <font>
      <sz val="11"/>
      <name val="Arial"/>
      <family val="2"/>
    </font>
    <font>
      <sz val="10"/>
      <name val="Calibri"/>
      <family val="2"/>
      <scheme val="minor"/>
    </font>
    <font>
      <sz val="12"/>
      <color rgb="FF000000"/>
      <name val="Calibri Light"/>
      <family val="2"/>
    </font>
    <font>
      <sz val="11"/>
      <color theme="1"/>
      <name val="Calibri"/>
      <family val="2"/>
    </font>
    <font>
      <vertAlign val="subscript"/>
      <sz val="11"/>
      <color indexed="8"/>
      <name val="Calibri"/>
      <family val="2"/>
      <scheme val="minor"/>
    </font>
    <font>
      <vertAlign val="subscript"/>
      <sz val="10"/>
      <name val="Calibri"/>
      <family val="2"/>
      <scheme val="minor"/>
    </font>
    <font>
      <vertAlign val="subscript"/>
      <sz val="10"/>
      <name val="Arial"/>
      <family val="2"/>
    </font>
    <font>
      <b/>
      <sz val="10"/>
      <color rgb="FF000000"/>
      <name val="Calibri Light"/>
      <family val="2"/>
    </font>
    <font>
      <b/>
      <sz val="12"/>
      <name val="Calibri Light"/>
      <family val="2"/>
    </font>
    <font>
      <sz val="12"/>
      <name val="Calibri Light"/>
      <family val="2"/>
    </font>
    <font>
      <vertAlign val="subscript"/>
      <sz val="12"/>
      <name val="Calibri Light"/>
      <family val="2"/>
    </font>
    <font>
      <b/>
      <sz val="12"/>
      <color rgb="FF000000"/>
      <name val="Calibri Light"/>
      <family val="2"/>
    </font>
    <font>
      <b/>
      <vertAlign val="subscript"/>
      <sz val="12"/>
      <color rgb="FF000000"/>
      <name val="Calibri Light"/>
      <family val="2"/>
    </font>
    <font>
      <b/>
      <sz val="11"/>
      <name val="Arial"/>
      <family val="2"/>
    </font>
    <font>
      <b/>
      <sz val="10"/>
      <name val="Calibri"/>
      <family val="2"/>
      <scheme val="minor"/>
    </font>
    <font>
      <b/>
      <sz val="12"/>
      <color theme="0"/>
      <name val="Calibri"/>
      <family val="2"/>
    </font>
    <font>
      <b/>
      <sz val="14"/>
      <color theme="0"/>
      <name val="Calibri"/>
      <family val="2"/>
    </font>
    <font>
      <b/>
      <sz val="16"/>
      <color theme="0"/>
      <name val="Calibri"/>
      <family val="2"/>
    </font>
    <font>
      <sz val="9"/>
      <color theme="1"/>
      <name val="Calibri"/>
      <family val="2"/>
    </font>
    <font>
      <b/>
      <vertAlign val="subscript"/>
      <sz val="14"/>
      <color indexed="8"/>
      <name val="Calibri"/>
      <family val="2"/>
    </font>
    <font>
      <b/>
      <sz val="14"/>
      <name val="Arial"/>
      <family val="2"/>
    </font>
    <font>
      <b/>
      <sz val="14"/>
      <name val="Calibri"/>
      <family val="2"/>
    </font>
    <font>
      <b/>
      <sz val="14"/>
      <color indexed="14"/>
      <name val="Arial"/>
      <family val="2"/>
    </font>
    <font>
      <b/>
      <sz val="12"/>
      <color theme="1"/>
      <name val="Calibri"/>
      <family val="2"/>
    </font>
    <font>
      <b/>
      <vertAlign val="subscript"/>
      <sz val="12"/>
      <color theme="0"/>
      <name val="Arial"/>
      <family val="2"/>
    </font>
    <font>
      <b/>
      <sz val="12"/>
      <color theme="0"/>
      <name val="Arial"/>
      <family val="2"/>
    </font>
    <font>
      <b/>
      <sz val="9"/>
      <name val="Times New Roman"/>
      <family val="1"/>
    </font>
    <font>
      <sz val="10"/>
      <color theme="1"/>
      <name val="Calibri"/>
      <family val="2"/>
      <scheme val="minor"/>
    </font>
    <font>
      <b/>
      <sz val="10"/>
      <color theme="1"/>
      <name val="Calibri"/>
      <family val="2"/>
      <scheme val="minor"/>
    </font>
    <font>
      <b/>
      <sz val="12"/>
      <color theme="1"/>
      <name val="Calibri"/>
      <family val="2"/>
      <scheme val="minor"/>
    </font>
    <font>
      <b/>
      <sz val="16"/>
      <color theme="1"/>
      <name val="Calibri"/>
      <family val="2"/>
      <scheme val="minor"/>
    </font>
    <font>
      <sz val="12"/>
      <name val="Arial"/>
      <family val="2"/>
    </font>
    <font>
      <b/>
      <sz val="18"/>
      <color theme="1"/>
      <name val="Arial"/>
      <family val="2"/>
    </font>
    <font>
      <sz val="16"/>
      <color theme="1"/>
      <name val="Calibri"/>
      <family val="2"/>
      <scheme val="minor"/>
    </font>
    <font>
      <sz val="16"/>
      <color theme="0"/>
      <name val="Calibri"/>
      <family val="2"/>
    </font>
    <font>
      <vertAlign val="subscript"/>
      <sz val="12"/>
      <color indexed="8"/>
      <name val="Calibri"/>
      <family val="2"/>
    </font>
    <font>
      <b/>
      <vertAlign val="superscript"/>
      <sz val="14"/>
      <name val="Calibri"/>
      <family val="2"/>
      <scheme val="minor"/>
    </font>
    <font>
      <sz val="14"/>
      <name val="Calibri "/>
    </font>
    <font>
      <sz val="14"/>
      <color rgb="FF000000"/>
      <name val="Calibri "/>
    </font>
    <font>
      <b/>
      <sz val="11"/>
      <name val="Calibri "/>
    </font>
    <font>
      <b/>
      <sz val="22"/>
      <color theme="0"/>
      <name val="Calibri"/>
      <family val="2"/>
      <scheme val="minor"/>
    </font>
    <font>
      <b/>
      <sz val="22"/>
      <color theme="0"/>
      <name val="Calibri"/>
      <family val="2"/>
    </font>
    <font>
      <b/>
      <sz val="9"/>
      <name val="Arial"/>
      <family val="2"/>
    </font>
    <font>
      <b/>
      <vertAlign val="subscript"/>
      <sz val="12"/>
      <color theme="1"/>
      <name val="Calibri"/>
      <family val="2"/>
      <scheme val="minor"/>
    </font>
    <font>
      <sz val="12"/>
      <color indexed="8"/>
      <name val="Calibri"/>
      <family val="2"/>
    </font>
    <font>
      <vertAlign val="superscript"/>
      <sz val="12"/>
      <color indexed="8"/>
      <name val="Calibri"/>
      <family val="2"/>
    </font>
    <font>
      <sz val="12"/>
      <color indexed="8"/>
      <name val="Symbol"/>
      <family val="1"/>
      <charset val="2"/>
    </font>
    <font>
      <vertAlign val="subscript"/>
      <sz val="12"/>
      <color theme="1"/>
      <name val="Calibri"/>
      <family val="2"/>
      <scheme val="minor"/>
    </font>
    <font>
      <b/>
      <sz val="20"/>
      <color theme="0"/>
      <name val="Calibri"/>
      <family val="2"/>
      <scheme val="minor"/>
    </font>
    <font>
      <b/>
      <sz val="20"/>
      <color theme="0"/>
      <name val="Calibri"/>
      <family val="2"/>
    </font>
    <font>
      <b/>
      <sz val="18"/>
      <color theme="1"/>
      <name val="Calibri"/>
      <family val="2"/>
      <scheme val="minor"/>
    </font>
    <font>
      <b/>
      <sz val="14"/>
      <color rgb="FF000000"/>
      <name val="Calibri"/>
      <family val="2"/>
    </font>
    <font>
      <b/>
      <vertAlign val="subscript"/>
      <sz val="14"/>
      <name val="Calibri"/>
      <family val="2"/>
      <scheme val="minor"/>
    </font>
    <font>
      <sz val="12"/>
      <color indexed="8"/>
      <name val="Aptos Narrow"/>
      <family val="2"/>
    </font>
    <font>
      <sz val="10.8"/>
      <color indexed="8"/>
      <name val="Calibri"/>
      <family val="2"/>
    </font>
    <font>
      <vertAlign val="subscript"/>
      <sz val="10.8"/>
      <color rgb="FF000000"/>
      <name val="Calibri"/>
      <family val="2"/>
    </font>
    <font>
      <sz val="12"/>
      <color rgb="FF000000"/>
      <name val="Calibri"/>
      <family val="2"/>
    </font>
    <font>
      <sz val="11"/>
      <color indexed="8"/>
      <name val="Symbol"/>
      <family val="1"/>
      <charset val="2"/>
    </font>
    <font>
      <sz val="12"/>
      <name val="Calibri"/>
      <family val="2"/>
    </font>
    <font>
      <vertAlign val="subscript"/>
      <sz val="12"/>
      <color rgb="FF000000"/>
      <name val="Calibri"/>
      <family val="2"/>
    </font>
    <font>
      <vertAlign val="subscript"/>
      <sz val="12"/>
      <color indexed="8"/>
      <name val="Calibri"/>
      <family val="2"/>
      <scheme val="minor"/>
    </font>
    <font>
      <sz val="11"/>
      <color rgb="FF000000"/>
      <name val="Calibri"/>
      <family val="2"/>
    </font>
    <font>
      <sz val="11"/>
      <color indexed="8"/>
      <name val="Calibri"/>
      <family val="2"/>
      <scheme val="minor"/>
    </font>
    <font>
      <vertAlign val="subscript"/>
      <sz val="11"/>
      <color theme="1"/>
      <name val="Calibri"/>
      <family val="2"/>
      <scheme val="minor"/>
    </font>
    <font>
      <b/>
      <sz val="11"/>
      <name val="Calibri"/>
      <family val="2"/>
      <scheme val="minor"/>
    </font>
    <font>
      <b/>
      <vertAlign val="superscript"/>
      <sz val="11"/>
      <name val="Calibri"/>
      <family val="2"/>
      <scheme val="minor"/>
    </font>
    <font>
      <b/>
      <vertAlign val="superscript"/>
      <sz val="11"/>
      <color rgb="FF000000"/>
      <name val="Calibri"/>
      <family val="2"/>
    </font>
    <font>
      <b/>
      <vertAlign val="subscript"/>
      <sz val="11"/>
      <color rgb="FF000000"/>
      <name val="Calibri"/>
      <family val="2"/>
    </font>
    <font>
      <b/>
      <vertAlign val="subscript"/>
      <sz val="11"/>
      <color theme="1"/>
      <name val="Calibri"/>
      <family val="2"/>
      <scheme val="minor"/>
    </font>
    <font>
      <sz val="11"/>
      <color rgb="FF000000"/>
      <name val="Calibri"/>
      <family val="2"/>
      <scheme val="minor"/>
    </font>
    <font>
      <vertAlign val="superscript"/>
      <sz val="11"/>
      <color theme="1"/>
      <name val="Calibri"/>
      <family val="2"/>
      <scheme val="minor"/>
    </font>
    <font>
      <b/>
      <vertAlign val="subscript"/>
      <sz val="11"/>
      <name val="Calibri"/>
      <family val="2"/>
      <scheme val="minor"/>
    </font>
    <font>
      <sz val="11"/>
      <color theme="1"/>
      <name val="Aptos Narrow"/>
      <family val="2"/>
    </font>
    <font>
      <vertAlign val="subscript"/>
      <sz val="11"/>
      <color theme="1"/>
      <name val="Aptos Narrow"/>
      <family val="2"/>
    </font>
    <font>
      <sz val="10"/>
      <name val="Arial"/>
      <family val="2"/>
    </font>
    <font>
      <vertAlign val="subscript"/>
      <sz val="11"/>
      <name val="Calibri"/>
      <family val="2"/>
    </font>
    <font>
      <vertAlign val="subscript"/>
      <sz val="12"/>
      <color rgb="FF000000"/>
      <name val="Calibri Light"/>
      <family val="2"/>
    </font>
    <font>
      <b/>
      <vertAlign val="subscript"/>
      <sz val="12"/>
      <name val="Calibri Light"/>
      <family val="2"/>
    </font>
    <font>
      <b/>
      <sz val="10"/>
      <color rgb="FF000000"/>
      <name val="Calibri"/>
      <family val="2"/>
    </font>
    <font>
      <b/>
      <vertAlign val="subscript"/>
      <sz val="10"/>
      <color rgb="FF000000"/>
      <name val="Calibri"/>
      <family val="2"/>
    </font>
    <font>
      <sz val="10"/>
      <color rgb="FF000000"/>
      <name val="Calibri"/>
      <family val="2"/>
    </font>
    <font>
      <vertAlign val="subscript"/>
      <sz val="10"/>
      <color rgb="FF000000"/>
      <name val="Calibri"/>
      <family val="2"/>
    </font>
    <font>
      <sz val="11"/>
      <color rgb="FF000000"/>
      <name val="Calibri "/>
    </font>
    <font>
      <sz val="14"/>
      <color rgb="FF000000"/>
      <name val="Calibri"/>
      <family val="2"/>
    </font>
    <font>
      <vertAlign val="subscript"/>
      <sz val="14"/>
      <color rgb="FF000000"/>
      <name val="Calibri"/>
      <family val="2"/>
    </font>
    <font>
      <vertAlign val="subscript"/>
      <sz val="16"/>
      <color theme="1"/>
      <name val="Calibri"/>
      <family val="2"/>
      <scheme val="minor"/>
    </font>
    <font>
      <sz val="12"/>
      <name val="Calibri "/>
    </font>
    <font>
      <sz val="11"/>
      <color rgb="FFFF0000"/>
      <name val="Calibri"/>
      <family val="2"/>
      <scheme val="minor"/>
    </font>
    <font>
      <sz val="14"/>
      <color rgb="FFFF0000"/>
      <name val="Calibri"/>
      <family val="2"/>
      <scheme val="minor"/>
    </font>
    <font>
      <b/>
      <sz val="12"/>
      <name val="Calibri"/>
      <family val="2"/>
    </font>
    <font>
      <sz val="8"/>
      <color theme="1"/>
      <name val="Calibri"/>
      <family val="2"/>
      <scheme val="minor"/>
    </font>
    <font>
      <b/>
      <sz val="12"/>
      <color rgb="FFFFFFFF"/>
      <name val="Calibri"/>
    </font>
    <font>
      <b/>
      <sz val="10"/>
      <color rgb="FF000000"/>
      <name val="Arial"/>
    </font>
    <font>
      <b/>
      <sz val="14"/>
      <color rgb="FF000000"/>
      <name val="Calibri"/>
      <scheme val="minor"/>
    </font>
    <font>
      <sz val="11"/>
      <color rgb="FFFF0000"/>
      <name val="Calibri"/>
      <scheme val="minor"/>
    </font>
  </fonts>
  <fills count="1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2CC"/>
        <bgColor indexed="64"/>
      </patternFill>
    </fill>
    <fill>
      <patternFill patternType="solid">
        <fgColor rgb="FF5B9BD5"/>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rgb="FFE5F4F7"/>
        <bgColor indexed="64"/>
      </patternFill>
    </fill>
    <fill>
      <patternFill patternType="solid">
        <fgColor theme="3"/>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rgb="FF1F497D"/>
        <bgColor indexed="64"/>
      </patternFill>
    </fill>
    <fill>
      <patternFill patternType="solid">
        <fgColor rgb="FF31869B"/>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right/>
      <top/>
      <bottom style="hair">
        <color indexed="64"/>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right style="thin">
        <color indexed="64"/>
      </right>
      <top style="thin">
        <color indexed="64"/>
      </top>
      <bottom/>
      <diagonal/>
    </border>
    <border>
      <left/>
      <right/>
      <top style="thin">
        <color indexed="64"/>
      </top>
      <bottom style="thin">
        <color indexed="64"/>
      </bottom>
      <diagonal/>
    </border>
    <border>
      <left/>
      <right/>
      <top style="dotted">
        <color indexed="64"/>
      </top>
      <bottom style="hair">
        <color indexed="64"/>
      </bottom>
      <diagonal/>
    </border>
    <border>
      <left/>
      <right/>
      <top/>
      <bottom style="dotted">
        <color indexed="64"/>
      </bottom>
      <diagonal/>
    </border>
    <border>
      <left style="hair">
        <color indexed="64"/>
      </left>
      <right style="hair">
        <color indexed="64"/>
      </right>
      <top style="dotted">
        <color indexed="64"/>
      </top>
      <bottom style="hair">
        <color indexed="64"/>
      </bottom>
      <diagonal/>
    </border>
    <border>
      <left/>
      <right/>
      <top style="dotted">
        <color indexed="64"/>
      </top>
      <bottom/>
      <diagonal/>
    </border>
    <border>
      <left/>
      <right/>
      <top style="dotted">
        <color indexed="64"/>
      </top>
      <bottom style="dotted">
        <color indexed="64"/>
      </bottom>
      <diagonal/>
    </border>
    <border>
      <left style="dotted">
        <color indexed="64"/>
      </left>
      <right/>
      <top style="dotted">
        <color indexed="64"/>
      </top>
      <bottom style="hair">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dotted">
        <color indexed="64"/>
      </left>
      <right/>
      <top/>
      <bottom/>
      <diagonal/>
    </border>
    <border>
      <left style="thin">
        <color indexed="64"/>
      </left>
      <right style="thin">
        <color indexed="64"/>
      </right>
      <top/>
      <bottom/>
      <diagonal/>
    </border>
    <border>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top/>
      <bottom style="thin">
        <color indexed="64"/>
      </bottom>
      <diagonal/>
    </border>
    <border>
      <left style="hair">
        <color indexed="64"/>
      </left>
      <right/>
      <top style="hair">
        <color indexed="64"/>
      </top>
      <bottom/>
      <diagonal/>
    </border>
    <border>
      <left style="hair">
        <color indexed="64"/>
      </left>
      <right/>
      <top/>
      <bottom style="hair">
        <color indexed="64"/>
      </bottom>
      <diagonal/>
    </border>
    <border>
      <left/>
      <right/>
      <top style="dotted">
        <color rgb="FF000000"/>
      </top>
      <bottom style="dotted">
        <color rgb="FF000000"/>
      </bottom>
      <diagonal/>
    </border>
    <border>
      <left/>
      <right/>
      <top style="dotted">
        <color rgb="FF000000"/>
      </top>
      <bottom/>
      <diagonal/>
    </border>
    <border>
      <left/>
      <right style="hair">
        <color indexed="64"/>
      </right>
      <top style="dotted">
        <color indexed="64"/>
      </top>
      <bottom style="hair">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hair">
        <color indexed="64"/>
      </left>
      <right/>
      <top style="dotted">
        <color indexed="64"/>
      </top>
      <bottom style="hair">
        <color indexed="64"/>
      </bottom>
      <diagonal/>
    </border>
    <border>
      <left style="hair">
        <color indexed="64"/>
      </left>
      <right/>
      <top/>
      <bottom/>
      <diagonal/>
    </border>
  </borders>
  <cellStyleXfs count="15">
    <xf numFmtId="0" fontId="0" fillId="0" borderId="0"/>
    <xf numFmtId="165" fontId="9" fillId="0" borderId="0" applyFont="0" applyFill="0" applyBorder="0" applyAlignment="0" applyProtection="0"/>
    <xf numFmtId="9" fontId="9" fillId="0" borderId="0" applyFont="0" applyFill="0" applyBorder="0" applyAlignment="0" applyProtection="0"/>
    <xf numFmtId="0" fontId="8" fillId="0" borderId="0"/>
    <xf numFmtId="0" fontId="7" fillId="0" borderId="0"/>
    <xf numFmtId="0" fontId="9" fillId="0" borderId="0"/>
    <xf numFmtId="0" fontId="54" fillId="0" borderId="0"/>
    <xf numFmtId="0" fontId="62" fillId="0" borderId="3"/>
    <xf numFmtId="0" fontId="62" fillId="0" borderId="12">
      <alignment horizontal="center"/>
    </xf>
    <xf numFmtId="0" fontId="62" fillId="0" borderId="33">
      <alignment horizontal="left"/>
    </xf>
    <xf numFmtId="0" fontId="62" fillId="0" borderId="15">
      <alignment horizontal="left"/>
    </xf>
    <xf numFmtId="164" fontId="110" fillId="0" borderId="0" applyFont="0" applyFill="0" applyBorder="0" applyAlignment="0" applyProtection="0"/>
    <xf numFmtId="0" fontId="3" fillId="0" borderId="0"/>
    <xf numFmtId="0" fontId="3" fillId="0" borderId="0"/>
    <xf numFmtId="164" fontId="9" fillId="0" borderId="0" applyFont="0" applyFill="0" applyBorder="0" applyAlignment="0" applyProtection="0"/>
  </cellStyleXfs>
  <cellXfs count="349">
    <xf numFmtId="0" fontId="0" fillId="0" borderId="0" xfId="0"/>
    <xf numFmtId="0" fontId="11" fillId="2" borderId="0" xfId="0" applyFont="1" applyFill="1"/>
    <xf numFmtId="0" fontId="11" fillId="2" borderId="0" xfId="0" applyFont="1" applyFill="1" applyAlignment="1">
      <alignment horizontal="right"/>
    </xf>
    <xf numFmtId="0" fontId="12" fillId="2" borderId="0" xfId="0" applyFont="1" applyFill="1" applyAlignment="1">
      <alignment horizontal="center"/>
    </xf>
    <xf numFmtId="168" fontId="13" fillId="2" borderId="0" xfId="1" applyNumberFormat="1" applyFont="1" applyFill="1" applyBorder="1" applyAlignment="1" applyProtection="1">
      <alignment horizontal="center"/>
    </xf>
    <xf numFmtId="168" fontId="12" fillId="2" borderId="1" xfId="1" applyNumberFormat="1" applyFont="1" applyFill="1" applyBorder="1" applyAlignment="1" applyProtection="1">
      <alignment horizontal="center"/>
    </xf>
    <xf numFmtId="0" fontId="8" fillId="0" borderId="0" xfId="3"/>
    <xf numFmtId="0" fontId="8" fillId="0" borderId="0" xfId="3" applyAlignment="1">
      <alignment wrapText="1"/>
    </xf>
    <xf numFmtId="0" fontId="7" fillId="0" borderId="0" xfId="4"/>
    <xf numFmtId="0" fontId="22" fillId="0" borderId="0" xfId="4" applyFont="1"/>
    <xf numFmtId="0" fontId="7" fillId="0" borderId="0" xfId="4" applyAlignment="1">
      <alignment vertical="center"/>
    </xf>
    <xf numFmtId="0" fontId="8" fillId="0" borderId="0" xfId="3" applyAlignment="1">
      <alignment vertical="center"/>
    </xf>
    <xf numFmtId="0" fontId="18" fillId="0" borderId="0" xfId="3" applyFont="1" applyAlignment="1">
      <alignment horizontal="center" vertical="center"/>
    </xf>
    <xf numFmtId="3" fontId="16" fillId="0" borderId="0" xfId="0" applyNumberFormat="1" applyFont="1" applyAlignment="1" applyProtection="1">
      <alignment horizontal="center" vertical="center"/>
      <protection locked="0"/>
    </xf>
    <xf numFmtId="0" fontId="34" fillId="0" borderId="0" xfId="0" applyFont="1" applyAlignment="1">
      <alignment horizontal="justify" vertical="center"/>
    </xf>
    <xf numFmtId="0" fontId="35" fillId="0" borderId="0" xfId="0" applyFont="1" applyAlignment="1">
      <alignment vertical="center"/>
    </xf>
    <xf numFmtId="10" fontId="7" fillId="0" borderId="0" xfId="4" applyNumberFormat="1"/>
    <xf numFmtId="0" fontId="6" fillId="0" borderId="0" xfId="4" applyFont="1"/>
    <xf numFmtId="9" fontId="7" fillId="0" borderId="0" xfId="4" applyNumberFormat="1"/>
    <xf numFmtId="0" fontId="35" fillId="0" borderId="0" xfId="0" applyFont="1" applyAlignment="1">
      <alignment horizontal="center" vertical="center" wrapText="1"/>
    </xf>
    <xf numFmtId="167" fontId="7" fillId="0" borderId="0" xfId="4" applyNumberFormat="1"/>
    <xf numFmtId="0" fontId="8" fillId="3" borderId="0" xfId="3" applyFill="1"/>
    <xf numFmtId="0" fontId="9" fillId="0" borderId="0" xfId="0" applyFont="1"/>
    <xf numFmtId="165" fontId="8" fillId="0" borderId="0" xfId="1" applyFont="1" applyProtection="1"/>
    <xf numFmtId="168" fontId="12" fillId="3" borderId="1" xfId="1" applyNumberFormat="1" applyFont="1" applyFill="1" applyBorder="1" applyAlignment="1" applyProtection="1">
      <alignment horizontal="center"/>
    </xf>
    <xf numFmtId="0" fontId="15" fillId="0" borderId="0" xfId="3" applyFont="1"/>
    <xf numFmtId="0" fontId="30" fillId="0" borderId="0" xfId="3" applyFont="1"/>
    <xf numFmtId="168" fontId="12" fillId="2" borderId="4" xfId="1" applyNumberFormat="1" applyFont="1" applyFill="1" applyBorder="1" applyAlignment="1" applyProtection="1">
      <alignment horizontal="center"/>
    </xf>
    <xf numFmtId="168" fontId="12" fillId="3" borderId="4" xfId="1" applyNumberFormat="1" applyFont="1" applyFill="1" applyBorder="1" applyAlignment="1" applyProtection="1">
      <alignment horizontal="center"/>
    </xf>
    <xf numFmtId="168" fontId="12" fillId="2" borderId="26" xfId="1" applyNumberFormat="1" applyFont="1" applyFill="1" applyBorder="1" applyAlignment="1" applyProtection="1">
      <alignment horizontal="center"/>
    </xf>
    <xf numFmtId="168" fontId="12" fillId="2" borderId="8" xfId="1" applyNumberFormat="1" applyFont="1" applyFill="1" applyBorder="1" applyAlignment="1" applyProtection="1">
      <alignment horizontal="center"/>
    </xf>
    <xf numFmtId="165" fontId="31" fillId="4" borderId="4" xfId="1" applyFont="1" applyFill="1" applyBorder="1" applyAlignment="1" applyProtection="1">
      <alignment horizontal="center" vertical="center"/>
      <protection locked="0"/>
    </xf>
    <xf numFmtId="0" fontId="69" fillId="0" borderId="0" xfId="3" applyFont="1"/>
    <xf numFmtId="165" fontId="69" fillId="0" borderId="0" xfId="1" applyFont="1" applyProtection="1"/>
    <xf numFmtId="3" fontId="56" fillId="4" borderId="4" xfId="0" applyNumberFormat="1" applyFont="1" applyFill="1" applyBorder="1" applyAlignment="1" applyProtection="1">
      <alignment horizontal="center" vertical="center"/>
      <protection locked="0"/>
    </xf>
    <xf numFmtId="3" fontId="78" fillId="4" borderId="4" xfId="0" applyNumberFormat="1" applyFont="1" applyFill="1" applyBorder="1" applyAlignment="1" applyProtection="1">
      <alignment horizontal="center" vertical="center"/>
      <protection locked="0"/>
    </xf>
    <xf numFmtId="0" fontId="0" fillId="0" borderId="0" xfId="0" applyAlignment="1">
      <alignment horizontal="center"/>
    </xf>
    <xf numFmtId="0" fontId="63" fillId="0" borderId="0" xfId="0" applyFont="1" applyAlignment="1">
      <alignment vertical="center"/>
    </xf>
    <xf numFmtId="0" fontId="8" fillId="0" borderId="0" xfId="3" applyAlignment="1">
      <alignment horizontal="center" wrapText="1"/>
    </xf>
    <xf numFmtId="0" fontId="30" fillId="0" borderId="0" xfId="3" applyFont="1" applyAlignment="1">
      <alignment horizontal="center"/>
    </xf>
    <xf numFmtId="0" fontId="8" fillId="0" borderId="0" xfId="3" applyAlignment="1">
      <alignment horizontal="center"/>
    </xf>
    <xf numFmtId="4" fontId="75" fillId="4" borderId="6" xfId="0" applyNumberFormat="1" applyFont="1" applyFill="1" applyBorder="1" applyAlignment="1" applyProtection="1">
      <alignment horizontal="center" vertical="center"/>
      <protection locked="0"/>
    </xf>
    <xf numFmtId="172" fontId="56" fillId="4" borderId="4" xfId="0" applyNumberFormat="1" applyFont="1" applyFill="1" applyBorder="1" applyAlignment="1" applyProtection="1">
      <alignment horizontal="center" vertical="center"/>
      <protection locked="0"/>
    </xf>
    <xf numFmtId="169" fontId="33" fillId="4" borderId="4" xfId="0" applyNumberFormat="1" applyFont="1" applyFill="1" applyBorder="1" applyAlignment="1" applyProtection="1">
      <alignment horizontal="center" vertical="center"/>
      <protection locked="0"/>
    </xf>
    <xf numFmtId="0" fontId="12" fillId="3" borderId="4" xfId="1" applyNumberFormat="1" applyFont="1" applyFill="1" applyBorder="1" applyAlignment="1" applyProtection="1">
      <alignment horizontal="center"/>
    </xf>
    <xf numFmtId="3" fontId="29" fillId="4" borderId="4" xfId="0" applyNumberFormat="1" applyFont="1" applyFill="1" applyBorder="1" applyAlignment="1" applyProtection="1">
      <alignment horizontal="center" vertical="center"/>
      <protection locked="0"/>
    </xf>
    <xf numFmtId="168" fontId="12" fillId="2" borderId="7" xfId="1" applyNumberFormat="1" applyFont="1" applyFill="1" applyBorder="1" applyAlignment="1" applyProtection="1">
      <alignment horizontal="center"/>
    </xf>
    <xf numFmtId="168" fontId="12" fillId="2" borderId="41" xfId="1" applyNumberFormat="1" applyFont="1" applyFill="1" applyBorder="1" applyAlignment="1" applyProtection="1">
      <alignment horizontal="center"/>
    </xf>
    <xf numFmtId="168" fontId="128" fillId="10" borderId="42" xfId="1" applyNumberFormat="1" applyFont="1" applyFill="1" applyBorder="1" applyAlignment="1" applyProtection="1">
      <alignment horizontal="center"/>
    </xf>
    <xf numFmtId="168" fontId="12" fillId="2" borderId="45" xfId="1" applyNumberFormat="1" applyFont="1" applyFill="1" applyBorder="1" applyAlignment="1" applyProtection="1">
      <alignment horizontal="center"/>
    </xf>
    <xf numFmtId="168" fontId="12" fillId="2" borderId="11" xfId="1" applyNumberFormat="1" applyFont="1" applyFill="1" applyBorder="1" applyAlignment="1" applyProtection="1">
      <alignment horizontal="center"/>
    </xf>
    <xf numFmtId="168" fontId="12" fillId="2" borderId="12" xfId="1" applyNumberFormat="1" applyFont="1" applyFill="1" applyBorder="1" applyAlignment="1" applyProtection="1">
      <alignment horizontal="center"/>
    </xf>
    <xf numFmtId="168" fontId="128" fillId="10" borderId="43" xfId="1" applyNumberFormat="1" applyFont="1" applyFill="1" applyBorder="1" applyAlignment="1" applyProtection="1">
      <alignment horizontal="center"/>
    </xf>
    <xf numFmtId="168" fontId="12" fillId="3" borderId="41" xfId="1" applyNumberFormat="1" applyFont="1" applyFill="1" applyBorder="1" applyAlignment="1" applyProtection="1">
      <alignment horizontal="center"/>
    </xf>
    <xf numFmtId="0" fontId="11" fillId="2" borderId="0" xfId="0" applyFont="1" applyFill="1" applyAlignment="1">
      <alignment horizontal="center"/>
    </xf>
    <xf numFmtId="0" fontId="11" fillId="3" borderId="0" xfId="0" applyFont="1" applyFill="1" applyAlignment="1">
      <alignment horizontal="center"/>
    </xf>
    <xf numFmtId="165" fontId="30" fillId="0" borderId="4" xfId="1" applyFont="1" applyFill="1" applyBorder="1" applyAlignment="1" applyProtection="1">
      <alignment horizontal="center" vertical="center"/>
    </xf>
    <xf numFmtId="168" fontId="30" fillId="0" borderId="4" xfId="1" applyNumberFormat="1" applyFont="1" applyFill="1" applyBorder="1" applyAlignment="1" applyProtection="1">
      <alignment horizontal="center" vertical="center"/>
    </xf>
    <xf numFmtId="0" fontId="8" fillId="0" borderId="2" xfId="3" applyBorder="1"/>
    <xf numFmtId="0" fontId="8" fillId="0" borderId="9" xfId="3" applyBorder="1"/>
    <xf numFmtId="0" fontId="10" fillId="2" borderId="0" xfId="0" applyFont="1" applyFill="1" applyAlignment="1">
      <alignment horizontal="center"/>
    </xf>
    <xf numFmtId="0" fontId="69" fillId="0" borderId="9" xfId="3" applyFont="1" applyBorder="1"/>
    <xf numFmtId="0" fontId="53" fillId="9" borderId="0" xfId="0" applyFont="1" applyFill="1" applyAlignment="1">
      <alignment vertical="center"/>
    </xf>
    <xf numFmtId="0" fontId="53" fillId="9" borderId="0" xfId="0" applyFont="1" applyFill="1" applyAlignment="1">
      <alignment horizontal="center" vertical="center"/>
    </xf>
    <xf numFmtId="0" fontId="70" fillId="9" borderId="0" xfId="0" applyFont="1" applyFill="1"/>
    <xf numFmtId="0" fontId="19" fillId="0" borderId="0" xfId="3" applyFont="1"/>
    <xf numFmtId="0" fontId="19" fillId="0" borderId="9" xfId="3" applyFont="1" applyBorder="1"/>
    <xf numFmtId="0" fontId="59" fillId="8" borderId="17" xfId="6" applyFont="1" applyFill="1" applyBorder="1" applyAlignment="1">
      <alignment horizontal="center" vertical="center"/>
    </xf>
    <xf numFmtId="0" fontId="123" fillId="0" borderId="0" xfId="3" applyFont="1"/>
    <xf numFmtId="4" fontId="33" fillId="6" borderId="17" xfId="0" applyNumberFormat="1" applyFont="1" applyFill="1" applyBorder="1" applyAlignment="1">
      <alignment horizontal="center" vertical="center"/>
    </xf>
    <xf numFmtId="0" fontId="19" fillId="0" borderId="19" xfId="3" applyFont="1" applyBorder="1"/>
    <xf numFmtId="0" fontId="19" fillId="0" borderId="0" xfId="3" applyFont="1" applyAlignment="1">
      <alignment horizontal="center"/>
    </xf>
    <xf numFmtId="0" fontId="130" fillId="10" borderId="44" xfId="3" applyFont="1" applyFill="1" applyBorder="1"/>
    <xf numFmtId="0" fontId="66" fillId="0" borderId="7" xfId="3" applyFont="1" applyBorder="1" applyAlignment="1">
      <alignment vertical="center"/>
    </xf>
    <xf numFmtId="0" fontId="66" fillId="0" borderId="5" xfId="3" applyFont="1" applyBorder="1" applyAlignment="1">
      <alignment horizontal="center" vertical="center"/>
    </xf>
    <xf numFmtId="0" fontId="69" fillId="0" borderId="5" xfId="3" applyFont="1" applyBorder="1"/>
    <xf numFmtId="0" fontId="69" fillId="3" borderId="0" xfId="3" applyFont="1" applyFill="1"/>
    <xf numFmtId="0" fontId="53" fillId="9" borderId="18" xfId="0" applyFont="1" applyFill="1" applyBorder="1" applyAlignment="1">
      <alignment vertical="center"/>
    </xf>
    <xf numFmtId="0" fontId="53" fillId="9" borderId="18" xfId="0" applyFont="1" applyFill="1" applyBorder="1" applyAlignment="1">
      <alignment horizontal="center" vertical="center"/>
    </xf>
    <xf numFmtId="0" fontId="53" fillId="9" borderId="16" xfId="0" applyFont="1" applyFill="1" applyBorder="1" applyAlignment="1">
      <alignment vertical="center"/>
    </xf>
    <xf numFmtId="0" fontId="31" fillId="3" borderId="0" xfId="3" applyFont="1" applyFill="1" applyAlignment="1">
      <alignment vertical="center"/>
    </xf>
    <xf numFmtId="0" fontId="31" fillId="3" borderId="0" xfId="3" applyFont="1" applyFill="1" applyAlignment="1">
      <alignment horizontal="center" vertical="center"/>
    </xf>
    <xf numFmtId="0" fontId="66" fillId="0" borderId="0" xfId="3" applyFont="1" applyAlignment="1">
      <alignment vertical="top" wrapText="1"/>
    </xf>
    <xf numFmtId="0" fontId="66" fillId="0" borderId="0" xfId="3" applyFont="1" applyAlignment="1">
      <alignment horizontal="center" vertical="top" wrapText="1"/>
    </xf>
    <xf numFmtId="0" fontId="32" fillId="0" borderId="0" xfId="4" applyFont="1" applyAlignment="1">
      <alignment horizontal="center" wrapText="1"/>
    </xf>
    <xf numFmtId="0" fontId="33" fillId="8" borderId="4" xfId="3" applyFont="1" applyFill="1" applyBorder="1" applyAlignment="1">
      <alignment horizontal="center" vertical="center" wrapText="1"/>
    </xf>
    <xf numFmtId="0" fontId="30" fillId="0" borderId="0" xfId="4" applyFont="1" applyAlignment="1">
      <alignment vertical="top" wrapText="1"/>
    </xf>
    <xf numFmtId="0" fontId="57" fillId="8" borderId="8" xfId="3" applyFont="1" applyFill="1" applyBorder="1" applyAlignment="1">
      <alignment horizontal="center" vertical="center"/>
    </xf>
    <xf numFmtId="0" fontId="29" fillId="3" borderId="0" xfId="3" applyFont="1" applyFill="1" applyAlignment="1">
      <alignment horizontal="center" vertical="center"/>
    </xf>
    <xf numFmtId="4" fontId="58" fillId="3" borderId="0" xfId="0" applyNumberFormat="1" applyFont="1" applyFill="1" applyAlignment="1">
      <alignment horizontal="center" vertical="center"/>
    </xf>
    <xf numFmtId="0" fontId="30" fillId="3" borderId="0" xfId="3" applyFont="1" applyFill="1"/>
    <xf numFmtId="0" fontId="69" fillId="0" borderId="0" xfId="3" applyFont="1" applyAlignment="1">
      <alignment vertical="top" wrapText="1"/>
    </xf>
    <xf numFmtId="0" fontId="33" fillId="8" borderId="4" xfId="3" quotePrefix="1" applyFont="1" applyFill="1" applyBorder="1" applyAlignment="1">
      <alignment horizontal="center" vertical="center" wrapText="1"/>
    </xf>
    <xf numFmtId="0" fontId="29" fillId="0" borderId="4" xfId="3" applyFont="1" applyBorder="1" applyAlignment="1">
      <alignment horizontal="center" vertical="center"/>
    </xf>
    <xf numFmtId="171" fontId="29" fillId="0" borderId="4" xfId="0" applyNumberFormat="1" applyFont="1" applyBorder="1" applyAlignment="1">
      <alignment horizontal="center" vertical="center"/>
    </xf>
    <xf numFmtId="3" fontId="29" fillId="0" borderId="4" xfId="0" applyNumberFormat="1" applyFont="1" applyBorder="1" applyAlignment="1">
      <alignment horizontal="center" vertical="center"/>
    </xf>
    <xf numFmtId="169" fontId="29" fillId="0" borderId="4" xfId="0" applyNumberFormat="1" applyFont="1" applyBorder="1" applyAlignment="1">
      <alignment horizontal="center" vertical="center"/>
    </xf>
    <xf numFmtId="3" fontId="29" fillId="6" borderId="4" xfId="0" applyNumberFormat="1" applyFont="1" applyFill="1" applyBorder="1" applyAlignment="1">
      <alignment horizontal="center" vertical="center"/>
    </xf>
    <xf numFmtId="4" fontId="29" fillId="6" borderId="4" xfId="0" applyNumberFormat="1" applyFont="1" applyFill="1" applyBorder="1" applyAlignment="1">
      <alignment horizontal="center" vertical="center"/>
    </xf>
    <xf numFmtId="0" fontId="30" fillId="0" borderId="0" xfId="3" applyFont="1" applyAlignment="1">
      <alignment wrapText="1"/>
    </xf>
    <xf numFmtId="0" fontId="124" fillId="0" borderId="0" xfId="3" applyFont="1" applyAlignment="1">
      <alignment horizontal="center" wrapText="1"/>
    </xf>
    <xf numFmtId="0" fontId="30" fillId="0" borderId="0" xfId="3" applyFont="1" applyAlignment="1">
      <alignment horizontal="center" wrapText="1"/>
    </xf>
    <xf numFmtId="0" fontId="66" fillId="0" borderId="0" xfId="3" applyFont="1" applyAlignment="1">
      <alignment vertical="top"/>
    </xf>
    <xf numFmtId="167" fontId="58" fillId="0" borderId="0" xfId="2" applyNumberFormat="1" applyFont="1" applyFill="1" applyBorder="1" applyAlignment="1" applyProtection="1">
      <alignment horizontal="center" vertical="center"/>
    </xf>
    <xf numFmtId="0" fontId="15" fillId="0" borderId="9" xfId="3" applyFont="1" applyBorder="1"/>
    <xf numFmtId="0" fontId="33" fillId="8" borderId="17" xfId="3" applyFont="1" applyFill="1" applyBorder="1" applyAlignment="1">
      <alignment horizontal="left" vertical="center" indent="2"/>
    </xf>
    <xf numFmtId="0" fontId="33" fillId="8" borderId="4" xfId="3" applyFont="1" applyFill="1" applyBorder="1" applyAlignment="1">
      <alignment horizontal="left" vertical="center" indent="2"/>
    </xf>
    <xf numFmtId="0" fontId="31" fillId="0" borderId="0" xfId="3" applyFont="1"/>
    <xf numFmtId="0" fontId="33" fillId="8" borderId="7" xfId="3" applyFont="1" applyFill="1" applyBorder="1" applyAlignment="1">
      <alignment horizontal="left" vertical="center" indent="2"/>
    </xf>
    <xf numFmtId="0" fontId="4" fillId="8" borderId="4" xfId="4" applyFont="1" applyFill="1" applyBorder="1" applyAlignment="1">
      <alignment horizontal="center" wrapText="1"/>
    </xf>
    <xf numFmtId="0" fontId="35" fillId="8" borderId="17" xfId="0" applyFont="1" applyFill="1" applyBorder="1" applyAlignment="1">
      <alignment horizontal="center"/>
    </xf>
    <xf numFmtId="0" fontId="33" fillId="8" borderId="16" xfId="3" applyFont="1" applyFill="1" applyBorder="1" applyAlignment="1">
      <alignment horizontal="center" vertical="center"/>
    </xf>
    <xf numFmtId="0" fontId="33" fillId="8" borderId="8" xfId="3" applyFont="1" applyFill="1" applyBorder="1" applyAlignment="1">
      <alignment horizontal="center" vertical="center"/>
    </xf>
    <xf numFmtId="0" fontId="22" fillId="8" borderId="8" xfId="4" applyFont="1" applyFill="1" applyBorder="1" applyAlignment="1">
      <alignment horizontal="center" vertical="center"/>
    </xf>
    <xf numFmtId="4" fontId="16" fillId="0" borderId="0" xfId="0" applyNumberFormat="1" applyFont="1" applyAlignment="1">
      <alignment horizontal="center" vertical="center"/>
    </xf>
    <xf numFmtId="0" fontId="29" fillId="3" borderId="0" xfId="3" applyFont="1" applyFill="1" applyAlignment="1">
      <alignment horizontal="center" vertical="center" wrapText="1"/>
    </xf>
    <xf numFmtId="0" fontId="66" fillId="3" borderId="0" xfId="3" applyFont="1" applyFill="1" applyAlignment="1">
      <alignment vertical="center" wrapText="1"/>
    </xf>
    <xf numFmtId="0" fontId="33" fillId="8" borderId="4" xfId="3" applyFont="1" applyFill="1" applyBorder="1" applyAlignment="1">
      <alignment horizontal="center" vertical="center"/>
    </xf>
    <xf numFmtId="0" fontId="29" fillId="3" borderId="0" xfId="3" applyFont="1" applyFill="1" applyAlignment="1">
      <alignment vertical="center" wrapText="1"/>
    </xf>
    <xf numFmtId="4" fontId="16" fillId="3" borderId="0" xfId="0" applyNumberFormat="1" applyFont="1" applyFill="1" applyAlignment="1">
      <alignment horizontal="center" vertical="center"/>
    </xf>
    <xf numFmtId="0" fontId="29" fillId="8" borderId="4" xfId="3" applyFont="1" applyFill="1" applyBorder="1" applyAlignment="1">
      <alignment horizontal="right" vertical="center"/>
    </xf>
    <xf numFmtId="4" fontId="33" fillId="6" borderId="4" xfId="0" applyNumberFormat="1" applyFont="1" applyFill="1" applyBorder="1" applyAlignment="1">
      <alignment horizontal="center" vertical="center"/>
    </xf>
    <xf numFmtId="0" fontId="8" fillId="3" borderId="0" xfId="3" applyFill="1" applyAlignment="1">
      <alignment horizontal="center"/>
    </xf>
    <xf numFmtId="0" fontId="29" fillId="3" borderId="0" xfId="3" applyFont="1" applyFill="1" applyAlignment="1">
      <alignment horizontal="left" vertical="center" indent="2"/>
    </xf>
    <xf numFmtId="0" fontId="43" fillId="3" borderId="0" xfId="0" applyFont="1" applyFill="1" applyAlignment="1">
      <alignment vertical="center" wrapText="1"/>
    </xf>
    <xf numFmtId="0" fontId="35" fillId="0" borderId="0" xfId="0" applyFont="1"/>
    <xf numFmtId="0" fontId="35" fillId="8" borderId="4" xfId="0" applyFont="1" applyFill="1" applyBorder="1" applyAlignment="1">
      <alignment horizontal="center" vertical="center" wrapText="1"/>
    </xf>
    <xf numFmtId="0" fontId="92" fillId="10" borderId="0" xfId="0" applyFont="1" applyFill="1" applyAlignment="1">
      <alignment vertical="center" wrapText="1"/>
    </xf>
    <xf numFmtId="0" fontId="73" fillId="3" borderId="0" xfId="3" applyFont="1" applyFill="1" applyAlignment="1">
      <alignment vertical="center" wrapText="1"/>
    </xf>
    <xf numFmtId="0" fontId="119" fillId="8" borderId="17" xfId="0" applyFont="1" applyFill="1" applyBorder="1" applyAlignment="1">
      <alignment horizontal="center" vertical="center"/>
    </xf>
    <xf numFmtId="0" fontId="35" fillId="0" borderId="18" xfId="0" applyFont="1" applyBorder="1" applyAlignment="1">
      <alignment vertical="center"/>
    </xf>
    <xf numFmtId="0" fontId="92" fillId="10" borderId="18" xfId="0" applyFont="1" applyFill="1" applyBorder="1" applyAlignment="1">
      <alignment vertical="center" wrapText="1"/>
    </xf>
    <xf numFmtId="0" fontId="92" fillId="10" borderId="16" xfId="0" applyFont="1" applyFill="1" applyBorder="1" applyAlignment="1">
      <alignment vertical="center" wrapText="1"/>
    </xf>
    <xf numFmtId="0" fontId="118" fillId="8" borderId="6" xfId="0" applyFont="1" applyFill="1" applyBorder="1" applyAlignment="1">
      <alignment horizontal="center" vertical="center"/>
    </xf>
    <xf numFmtId="0" fontId="118" fillId="8" borderId="4" xfId="0" applyFont="1" applyFill="1" applyBorder="1" applyAlignment="1">
      <alignment horizontal="center" vertical="center"/>
    </xf>
    <xf numFmtId="0" fontId="119" fillId="8" borderId="8" xfId="0" applyFont="1" applyFill="1" applyBorder="1" applyAlignment="1">
      <alignment horizontal="center" vertical="center"/>
    </xf>
    <xf numFmtId="0" fontId="28" fillId="3" borderId="0" xfId="3" applyFont="1" applyFill="1" applyAlignment="1">
      <alignment horizontal="left" vertical="center" wrapText="1"/>
    </xf>
    <xf numFmtId="0" fontId="28" fillId="3" borderId="0" xfId="3" applyFont="1" applyFill="1" applyAlignment="1">
      <alignment horizontal="center" vertical="center" wrapText="1"/>
    </xf>
    <xf numFmtId="0" fontId="38" fillId="3" borderId="0" xfId="0" applyFont="1" applyFill="1" applyAlignment="1">
      <alignment horizontal="center" vertical="center"/>
    </xf>
    <xf numFmtId="0" fontId="29" fillId="8" borderId="4" xfId="3" applyFont="1" applyFill="1" applyBorder="1" applyAlignment="1">
      <alignment horizontal="center" vertical="center" wrapText="1"/>
    </xf>
    <xf numFmtId="0" fontId="122" fillId="8" borderId="4" xfId="3" applyFont="1" applyFill="1" applyBorder="1" applyAlignment="1">
      <alignment horizontal="left" vertical="center" wrapText="1"/>
    </xf>
    <xf numFmtId="0" fontId="73" fillId="8" borderId="4" xfId="3" applyFont="1" applyFill="1" applyBorder="1" applyAlignment="1">
      <alignment horizontal="center" vertical="center" wrapText="1"/>
    </xf>
    <xf numFmtId="0" fontId="63" fillId="5" borderId="0" xfId="0" applyFont="1" applyFill="1" applyAlignment="1">
      <alignment vertical="center"/>
    </xf>
    <xf numFmtId="0" fontId="0" fillId="7" borderId="0" xfId="0" applyFill="1" applyAlignment="1">
      <alignment horizontal="left"/>
    </xf>
    <xf numFmtId="0" fontId="17" fillId="7" borderId="0" xfId="0" applyFont="1" applyFill="1"/>
    <xf numFmtId="0" fontId="0" fillId="7" borderId="0" xfId="0" applyFill="1"/>
    <xf numFmtId="0" fontId="63" fillId="7" borderId="0" xfId="0" applyFont="1" applyFill="1"/>
    <xf numFmtId="0" fontId="37" fillId="3" borderId="4" xfId="0" applyFont="1" applyFill="1" applyBorder="1" applyAlignment="1">
      <alignment horizontal="center"/>
    </xf>
    <xf numFmtId="0" fontId="37" fillId="3" borderId="4" xfId="0" applyFont="1" applyFill="1" applyBorder="1" applyAlignment="1">
      <alignment horizontal="center" vertical="center"/>
    </xf>
    <xf numFmtId="14" fontId="63" fillId="3" borderId="4" xfId="0" applyNumberFormat="1" applyFont="1" applyFill="1" applyBorder="1" applyAlignment="1">
      <alignment horizontal="center" vertical="center"/>
    </xf>
    <xf numFmtId="0" fontId="63" fillId="3" borderId="4" xfId="0" applyFont="1" applyFill="1" applyBorder="1" applyAlignment="1">
      <alignment horizontal="center" vertical="center"/>
    </xf>
    <xf numFmtId="0" fontId="0" fillId="7" borderId="0" xfId="0" applyFill="1" applyAlignment="1">
      <alignment horizontal="center"/>
    </xf>
    <xf numFmtId="0" fontId="50" fillId="7" borderId="0" xfId="0" applyFont="1" applyFill="1" applyAlignment="1">
      <alignment horizontal="center"/>
    </xf>
    <xf numFmtId="3" fontId="0" fillId="7" borderId="0" xfId="0" applyNumberFormat="1" applyFill="1" applyAlignment="1">
      <alignment horizontal="center"/>
    </xf>
    <xf numFmtId="3" fontId="64" fillId="6" borderId="4" xfId="1" applyNumberFormat="1" applyFont="1" applyFill="1" applyBorder="1" applyAlignment="1" applyProtection="1">
      <alignment horizontal="center" vertical="center"/>
    </xf>
    <xf numFmtId="3" fontId="63" fillId="0" borderId="4" xfId="0" applyNumberFormat="1" applyFont="1" applyBorder="1" applyAlignment="1">
      <alignment horizontal="center" vertical="center"/>
    </xf>
    <xf numFmtId="3" fontId="64" fillId="12" borderId="0" xfId="0" applyNumberFormat="1" applyFont="1" applyFill="1" applyAlignment="1">
      <alignment horizontal="center" vertical="center"/>
    </xf>
    <xf numFmtId="0" fontId="14" fillId="2" borderId="0" xfId="0" applyFont="1" applyFill="1"/>
    <xf numFmtId="0" fontId="11" fillId="2" borderId="25" xfId="0" applyFont="1" applyFill="1" applyBorder="1"/>
    <xf numFmtId="0" fontId="11" fillId="2" borderId="25" xfId="0" applyFont="1" applyFill="1" applyBorder="1" applyAlignment="1">
      <alignment horizontal="right"/>
    </xf>
    <xf numFmtId="0" fontId="51" fillId="9" borderId="31" xfId="0" applyFont="1" applyFill="1" applyBorder="1" applyAlignment="1">
      <alignment horizontal="center" vertical="center" wrapText="1"/>
    </xf>
    <xf numFmtId="0" fontId="51" fillId="9" borderId="25" xfId="0" applyFont="1" applyFill="1" applyBorder="1" applyAlignment="1">
      <alignment horizontal="center" vertical="center" wrapText="1"/>
    </xf>
    <xf numFmtId="0" fontId="51" fillId="9" borderId="28" xfId="0" applyFont="1" applyFill="1" applyBorder="1" applyAlignment="1">
      <alignment horizontal="center" vertical="center" wrapText="1"/>
    </xf>
    <xf numFmtId="0" fontId="127" fillId="13" borderId="40" xfId="0" applyFont="1" applyFill="1" applyBorder="1" applyAlignment="1">
      <alignment horizontal="center" vertical="center" wrapText="1"/>
    </xf>
    <xf numFmtId="0" fontId="51" fillId="9" borderId="0" xfId="0" applyFont="1" applyFill="1" applyAlignment="1">
      <alignment horizontal="center" vertical="center" wrapText="1"/>
    </xf>
    <xf numFmtId="0" fontId="127" fillId="13" borderId="39" xfId="0" applyFont="1" applyFill="1" applyBorder="1" applyAlignment="1">
      <alignment horizontal="center" vertical="center" wrapText="1"/>
    </xf>
    <xf numFmtId="0" fontId="11" fillId="2" borderId="32" xfId="0" applyFont="1" applyFill="1" applyBorder="1"/>
    <xf numFmtId="0" fontId="51" fillId="9" borderId="29" xfId="0" applyFont="1" applyFill="1" applyBorder="1" applyAlignment="1">
      <alignment horizontal="center" vertical="center" wrapText="1"/>
    </xf>
    <xf numFmtId="0" fontId="51" fillId="9" borderId="24" xfId="0" applyFont="1" applyFill="1" applyBorder="1" applyAlignment="1">
      <alignment horizontal="center" vertical="center" wrapText="1"/>
    </xf>
    <xf numFmtId="0" fontId="51" fillId="9" borderId="27" xfId="0" applyFont="1" applyFill="1" applyBorder="1" applyAlignment="1">
      <alignment horizontal="center" vertical="center" wrapText="1"/>
    </xf>
    <xf numFmtId="0" fontId="51" fillId="9" borderId="30" xfId="0" applyFont="1" applyFill="1" applyBorder="1" applyAlignment="1">
      <alignment horizontal="center" vertical="center" wrapText="1"/>
    </xf>
    <xf numFmtId="166" fontId="12" fillId="2" borderId="4" xfId="0" applyNumberFormat="1" applyFont="1" applyFill="1" applyBorder="1" applyAlignment="1">
      <alignment horizontal="center"/>
    </xf>
    <xf numFmtId="168" fontId="11" fillId="2" borderId="0" xfId="0" applyNumberFormat="1" applyFont="1" applyFill="1"/>
    <xf numFmtId="0" fontId="13" fillId="2" borderId="0" xfId="0" applyFont="1" applyFill="1"/>
    <xf numFmtId="0" fontId="13" fillId="2" borderId="0" xfId="0" applyFont="1" applyFill="1" applyAlignment="1">
      <alignment horizontal="center"/>
    </xf>
    <xf numFmtId="0" fontId="13" fillId="3" borderId="0" xfId="0" applyFont="1" applyFill="1" applyAlignment="1">
      <alignment horizontal="center"/>
    </xf>
    <xf numFmtId="168" fontId="128" fillId="10" borderId="42" xfId="0" applyNumberFormat="1" applyFont="1" applyFill="1" applyBorder="1" applyAlignment="1">
      <alignment horizontal="center"/>
    </xf>
    <xf numFmtId="0" fontId="13" fillId="2" borderId="0" xfId="0" applyFont="1" applyFill="1" applyAlignment="1">
      <alignment horizontal="right"/>
    </xf>
    <xf numFmtId="0" fontId="125" fillId="11" borderId="25" xfId="0" applyFont="1" applyFill="1" applyBorder="1" applyAlignment="1">
      <alignment horizontal="center" vertical="center" wrapText="1"/>
    </xf>
    <xf numFmtId="169" fontId="129" fillId="14" borderId="7" xfId="3" applyNumberFormat="1" applyFont="1" applyFill="1" applyBorder="1" applyAlignment="1">
      <alignment horizontal="center" vertical="center"/>
    </xf>
    <xf numFmtId="0" fontId="52" fillId="9" borderId="1" xfId="0" applyFont="1" applyFill="1" applyBorder="1" applyAlignment="1">
      <alignment horizontal="center" vertical="center" wrapText="1"/>
    </xf>
    <xf numFmtId="49" fontId="65" fillId="0" borderId="1" xfId="4" applyNumberFormat="1" applyFont="1" applyBorder="1" applyAlignment="1">
      <alignment horizontal="center" wrapText="1"/>
    </xf>
    <xf numFmtId="0" fontId="65" fillId="0" borderId="1" xfId="4" applyFont="1" applyBorder="1" applyAlignment="1">
      <alignment horizontal="center" wrapText="1"/>
    </xf>
    <xf numFmtId="0" fontId="23" fillId="0" borderId="0" xfId="4" applyFont="1" applyAlignment="1">
      <alignment horizontal="center" vertical="top" wrapText="1"/>
    </xf>
    <xf numFmtId="49" fontId="19" fillId="0" borderId="1" xfId="4" applyNumberFormat="1" applyFont="1" applyBorder="1" applyAlignment="1">
      <alignment horizontal="left" wrapText="1"/>
    </xf>
    <xf numFmtId="3" fontId="19" fillId="0" borderId="1" xfId="4" applyNumberFormat="1" applyFont="1" applyBorder="1" applyAlignment="1">
      <alignment horizontal="center"/>
    </xf>
    <xf numFmtId="169" fontId="19" fillId="0" borderId="1" xfId="4" applyNumberFormat="1" applyFont="1" applyBorder="1" applyAlignment="1">
      <alignment horizontal="center"/>
    </xf>
    <xf numFmtId="4" fontId="19" fillId="0" borderId="1" xfId="4" applyNumberFormat="1" applyFont="1" applyBorder="1" applyAlignment="1">
      <alignment horizontal="center"/>
    </xf>
    <xf numFmtId="49" fontId="19" fillId="3" borderId="1" xfId="4" applyNumberFormat="1" applyFont="1" applyFill="1" applyBorder="1" applyAlignment="1">
      <alignment horizontal="left" vertical="center"/>
    </xf>
    <xf numFmtId="0" fontId="24" fillId="0" borderId="0" xfId="4" applyFont="1" applyAlignment="1">
      <alignment horizontal="center" vertical="top" wrapText="1"/>
    </xf>
    <xf numFmtId="49" fontId="19" fillId="3" borderId="1" xfId="4" applyNumberFormat="1" applyFont="1" applyFill="1" applyBorder="1" applyAlignment="1">
      <alignment horizontal="left"/>
    </xf>
    <xf numFmtId="49" fontId="19" fillId="0" borderId="1" xfId="4" applyNumberFormat="1" applyFont="1" applyBorder="1" applyAlignment="1">
      <alignment horizontal="left" vertical="center" wrapText="1"/>
    </xf>
    <xf numFmtId="49" fontId="19" fillId="0" borderId="1" xfId="4" applyNumberFormat="1" applyFont="1" applyBorder="1" applyAlignment="1">
      <alignment horizontal="left"/>
    </xf>
    <xf numFmtId="49" fontId="5" fillId="0" borderId="1" xfId="4" applyNumberFormat="1" applyFont="1" applyBorder="1" applyAlignment="1">
      <alignment horizontal="left" wrapText="1"/>
    </xf>
    <xf numFmtId="49" fontId="19" fillId="0" borderId="1" xfId="4" applyNumberFormat="1" applyFont="1" applyBorder="1"/>
    <xf numFmtId="0" fontId="65" fillId="0" borderId="1" xfId="4" applyFont="1" applyBorder="1" applyAlignment="1">
      <alignment horizontal="center" vertical="top" wrapText="1"/>
    </xf>
    <xf numFmtId="49" fontId="19" fillId="3" borderId="1" xfId="4" applyNumberFormat="1" applyFont="1" applyFill="1" applyBorder="1"/>
    <xf numFmtId="169" fontId="19" fillId="0" borderId="1" xfId="4" applyNumberFormat="1" applyFont="1" applyBorder="1" applyAlignment="1">
      <alignment horizontal="center" vertical="center"/>
    </xf>
    <xf numFmtId="49" fontId="19" fillId="3" borderId="1" xfId="4" applyNumberFormat="1" applyFont="1" applyFill="1" applyBorder="1" applyAlignment="1">
      <alignment vertical="center"/>
    </xf>
    <xf numFmtId="169" fontId="19" fillId="3" borderId="1" xfId="4" applyNumberFormat="1" applyFont="1" applyFill="1" applyBorder="1" applyAlignment="1">
      <alignment horizontal="center"/>
    </xf>
    <xf numFmtId="3" fontId="19" fillId="3" borderId="1" xfId="4" applyNumberFormat="1" applyFont="1" applyFill="1" applyBorder="1" applyAlignment="1">
      <alignment horizontal="center"/>
    </xf>
    <xf numFmtId="1" fontId="23" fillId="0" borderId="0" xfId="4" applyNumberFormat="1" applyFont="1" applyAlignment="1">
      <alignment horizontal="center" vertical="top" wrapText="1"/>
    </xf>
    <xf numFmtId="0" fontId="7" fillId="0" borderId="3" xfId="4" applyBorder="1"/>
    <xf numFmtId="0" fontId="65" fillId="0" borderId="1" xfId="4" applyFont="1" applyBorder="1"/>
    <xf numFmtId="0" fontId="65" fillId="0" borderId="0" xfId="4" applyFont="1"/>
    <xf numFmtId="0" fontId="24" fillId="0" borderId="10" xfId="4" applyFont="1" applyBorder="1" applyAlignment="1">
      <alignment horizontal="center" wrapText="1"/>
    </xf>
    <xf numFmtId="0" fontId="7" fillId="0" borderId="1" xfId="4" applyBorder="1" applyAlignment="1">
      <alignment horizontal="center" wrapText="1"/>
    </xf>
    <xf numFmtId="0" fontId="5" fillId="0" borderId="1" xfId="4" applyFont="1" applyBorder="1" applyAlignment="1">
      <alignment horizontal="center" wrapText="1"/>
    </xf>
    <xf numFmtId="0" fontId="15" fillId="0" borderId="1" xfId="4" applyFont="1" applyBorder="1" applyAlignment="1">
      <alignment horizontal="center" wrapText="1"/>
    </xf>
    <xf numFmtId="0" fontId="18" fillId="0" borderId="1" xfId="3" applyFont="1" applyBorder="1" applyAlignment="1">
      <alignment horizontal="center" vertical="center"/>
    </xf>
    <xf numFmtId="0" fontId="22" fillId="0" borderId="1" xfId="4" applyFont="1" applyBorder="1" applyAlignment="1">
      <alignment horizontal="center" wrapText="1"/>
    </xf>
    <xf numFmtId="2" fontId="18" fillId="0" borderId="1" xfId="4" applyNumberFormat="1" applyFont="1" applyBorder="1" applyAlignment="1">
      <alignment horizontal="center" wrapText="1"/>
    </xf>
    <xf numFmtId="49" fontId="27" fillId="0" borderId="0" xfId="4" applyNumberFormat="1" applyFont="1"/>
    <xf numFmtId="49" fontId="7" fillId="0" borderId="0" xfId="4" applyNumberFormat="1"/>
    <xf numFmtId="166" fontId="15" fillId="0" borderId="13" xfId="4" applyNumberFormat="1" applyFont="1" applyBorder="1" applyAlignment="1">
      <alignment horizontal="center"/>
    </xf>
    <xf numFmtId="0" fontId="7" fillId="0" borderId="3" xfId="4" applyBorder="1" applyAlignment="1">
      <alignment vertical="top" wrapText="1"/>
    </xf>
    <xf numFmtId="0" fontId="7" fillId="0" borderId="1" xfId="4" applyBorder="1" applyAlignment="1">
      <alignment vertical="top" wrapText="1"/>
    </xf>
    <xf numFmtId="3" fontId="7" fillId="0" borderId="1" xfId="4" applyNumberFormat="1" applyBorder="1" applyAlignment="1">
      <alignment horizontal="center" wrapText="1"/>
    </xf>
    <xf numFmtId="3" fontId="5" fillId="0" borderId="1" xfId="4" applyNumberFormat="1" applyFont="1" applyBorder="1" applyAlignment="1">
      <alignment horizontal="center" wrapText="1"/>
    </xf>
    <xf numFmtId="2" fontId="18" fillId="0" borderId="1" xfId="4" applyNumberFormat="1" applyFont="1" applyBorder="1" applyAlignment="1">
      <alignment horizontal="center"/>
    </xf>
    <xf numFmtId="0" fontId="7" fillId="0" borderId="0" xfId="4" applyAlignment="1">
      <alignment horizontal="left" wrapText="1"/>
    </xf>
    <xf numFmtId="0" fontId="15" fillId="0" borderId="0" xfId="4" applyFont="1"/>
    <xf numFmtId="49" fontId="24" fillId="0" borderId="14" xfId="4" applyNumberFormat="1" applyFont="1" applyBorder="1" applyAlignment="1">
      <alignment vertical="center" wrapText="1"/>
    </xf>
    <xf numFmtId="49" fontId="24" fillId="0" borderId="22" xfId="4" applyNumberFormat="1" applyFont="1" applyBorder="1" applyAlignment="1">
      <alignment horizontal="center" vertical="center" wrapText="1"/>
    </xf>
    <xf numFmtId="0" fontId="100" fillId="0" borderId="1" xfId="3" applyFont="1" applyBorder="1" applyAlignment="1">
      <alignment horizontal="center" vertical="center" wrapText="1"/>
    </xf>
    <xf numFmtId="49" fontId="24" fillId="0" borderId="1" xfId="4" applyNumberFormat="1" applyFont="1" applyBorder="1" applyAlignment="1">
      <alignment horizontal="center" vertical="center"/>
    </xf>
    <xf numFmtId="49" fontId="24" fillId="0" borderId="14" xfId="4" applyNumberFormat="1" applyFont="1" applyBorder="1" applyAlignment="1">
      <alignment horizontal="center" vertical="center"/>
    </xf>
    <xf numFmtId="3" fontId="18" fillId="0" borderId="1" xfId="0" applyNumberFormat="1" applyFont="1" applyBorder="1" applyAlignment="1">
      <alignment horizontal="center" vertical="center"/>
    </xf>
    <xf numFmtId="166" fontId="5" fillId="0" borderId="1" xfId="4" applyNumberFormat="1" applyFont="1" applyBorder="1" applyAlignment="1">
      <alignment horizontal="center" vertical="top" wrapText="1"/>
    </xf>
    <xf numFmtId="173" fontId="18" fillId="0" borderId="1" xfId="0" applyNumberFormat="1" applyFont="1" applyBorder="1" applyAlignment="1">
      <alignment horizontal="center" vertical="center"/>
    </xf>
    <xf numFmtId="0" fontId="2" fillId="0" borderId="1" xfId="4" applyFont="1" applyBorder="1"/>
    <xf numFmtId="0" fontId="7" fillId="0" borderId="1" xfId="4" applyBorder="1"/>
    <xf numFmtId="49" fontId="24" fillId="0" borderId="1" xfId="4" applyNumberFormat="1" applyFont="1" applyBorder="1" applyAlignment="1">
      <alignment horizontal="left" vertical="top" wrapText="1"/>
    </xf>
    <xf numFmtId="0" fontId="24" fillId="0" borderId="1" xfId="4" applyFont="1" applyBorder="1" applyAlignment="1">
      <alignment horizontal="center" vertical="top" wrapText="1"/>
    </xf>
    <xf numFmtId="49" fontId="24" fillId="0" borderId="1" xfId="4" applyNumberFormat="1" applyFont="1" applyBorder="1" applyAlignment="1">
      <alignment wrapText="1"/>
    </xf>
    <xf numFmtId="49" fontId="24" fillId="0" borderId="1" xfId="4" applyNumberFormat="1" applyFont="1" applyBorder="1" applyAlignment="1">
      <alignment horizontal="left" vertical="center" wrapText="1"/>
    </xf>
    <xf numFmtId="166" fontId="24" fillId="0" borderId="1" xfId="4" applyNumberFormat="1" applyFont="1" applyBorder="1" applyAlignment="1">
      <alignment horizontal="center" vertical="center" wrapText="1"/>
    </xf>
    <xf numFmtId="49" fontId="7" fillId="0" borderId="0" xfId="4" applyNumberFormat="1" applyAlignment="1">
      <alignment vertical="center"/>
    </xf>
    <xf numFmtId="166" fontId="15" fillId="0" borderId="13" xfId="4" applyNumberFormat="1" applyFont="1" applyBorder="1" applyAlignment="1">
      <alignment horizontal="center" vertical="center"/>
    </xf>
    <xf numFmtId="0" fontId="100" fillId="0" borderId="1" xfId="3" quotePrefix="1" applyFont="1" applyBorder="1" applyAlignment="1">
      <alignment horizontal="center" vertical="center" wrapText="1"/>
    </xf>
    <xf numFmtId="166" fontId="7" fillId="0" borderId="1" xfId="4" applyNumberFormat="1" applyBorder="1" applyAlignment="1">
      <alignment horizontal="center" wrapText="1"/>
    </xf>
    <xf numFmtId="0" fontId="7" fillId="0" borderId="0" xfId="4" applyAlignment="1">
      <alignment horizontal="center" wrapText="1"/>
    </xf>
    <xf numFmtId="49" fontId="24" fillId="0" borderId="11" xfId="4" applyNumberFormat="1" applyFont="1" applyBorder="1" applyAlignment="1">
      <alignment horizontal="center" vertical="top" wrapText="1"/>
    </xf>
    <xf numFmtId="13" fontId="35" fillId="0" borderId="1" xfId="11" quotePrefix="1" applyNumberFormat="1" applyFont="1" applyBorder="1" applyAlignment="1" applyProtection="1">
      <alignment horizontal="center" vertical="center" wrapText="1"/>
    </xf>
    <xf numFmtId="13" fontId="35" fillId="0" borderId="1" xfId="11" applyNumberFormat="1" applyFont="1" applyBorder="1" applyAlignment="1" applyProtection="1">
      <alignment horizontal="center" vertical="center" wrapText="1"/>
    </xf>
    <xf numFmtId="0" fontId="35" fillId="0" borderId="2" xfId="0" applyFont="1" applyBorder="1" applyAlignment="1">
      <alignment horizontal="center"/>
    </xf>
    <xf numFmtId="0" fontId="35" fillId="0" borderId="1" xfId="0" applyFont="1" applyBorder="1" applyAlignment="1">
      <alignment horizontal="center" vertical="center" wrapText="1"/>
    </xf>
    <xf numFmtId="0" fontId="22" fillId="0" borderId="36" xfId="4" applyFont="1" applyBorder="1" applyAlignment="1">
      <alignment horizontal="center" vertical="center"/>
    </xf>
    <xf numFmtId="2" fontId="7" fillId="0" borderId="1" xfId="2" applyNumberFormat="1" applyFont="1" applyBorder="1" applyAlignment="1" applyProtection="1">
      <alignment horizontal="center" vertical="center"/>
    </xf>
    <xf numFmtId="0" fontId="22" fillId="0" borderId="0" xfId="4" applyFont="1" applyAlignment="1">
      <alignment horizontal="center" vertical="center"/>
    </xf>
    <xf numFmtId="166" fontId="7" fillId="0" borderId="0" xfId="4" applyNumberFormat="1"/>
    <xf numFmtId="166" fontId="7" fillId="0" borderId="23" xfId="4" applyNumberFormat="1" applyBorder="1"/>
    <xf numFmtId="166" fontId="15" fillId="0" borderId="15" xfId="0" applyNumberFormat="1" applyFont="1" applyBorder="1" applyAlignment="1">
      <alignment horizontal="center"/>
    </xf>
    <xf numFmtId="49" fontId="39" fillId="0" borderId="0" xfId="4" applyNumberFormat="1" applyFont="1" applyAlignment="1">
      <alignment horizontal="center"/>
    </xf>
    <xf numFmtId="49" fontId="7" fillId="0" borderId="0" xfId="4" applyNumberFormat="1" applyAlignment="1">
      <alignment horizontal="center"/>
    </xf>
    <xf numFmtId="166" fontId="15" fillId="0" borderId="0" xfId="0" applyNumberFormat="1" applyFont="1" applyAlignment="1">
      <alignment horizontal="center"/>
    </xf>
    <xf numFmtId="0" fontId="15" fillId="0" borderId="13" xfId="0" applyFont="1" applyBorder="1" applyAlignment="1">
      <alignment horizontal="center"/>
    </xf>
    <xf numFmtId="0" fontId="4" fillId="0" borderId="1" xfId="4" applyFont="1" applyBorder="1" applyAlignment="1">
      <alignment horizontal="center" vertical="center" wrapText="1"/>
    </xf>
    <xf numFmtId="0" fontId="35" fillId="0" borderId="1" xfId="0" applyFont="1" applyBorder="1" applyAlignment="1">
      <alignment horizontal="center" vertical="center"/>
    </xf>
    <xf numFmtId="0" fontId="4" fillId="0" borderId="1" xfId="4" applyFont="1" applyBorder="1" applyAlignment="1">
      <alignment horizontal="center" wrapText="1"/>
    </xf>
    <xf numFmtId="0" fontId="24" fillId="0" borderId="1" xfId="4" applyFont="1" applyBorder="1" applyAlignment="1">
      <alignment horizontal="center" vertical="center" wrapText="1"/>
    </xf>
    <xf numFmtId="170" fontId="24" fillId="0" borderId="1" xfId="1" applyNumberFormat="1" applyFont="1" applyBorder="1" applyAlignment="1" applyProtection="1">
      <alignment horizontal="center" vertical="center" wrapText="1"/>
    </xf>
    <xf numFmtId="0" fontId="51" fillId="9" borderId="23" xfId="0" applyFont="1" applyFill="1" applyBorder="1" applyAlignment="1">
      <alignment vertical="center" wrapText="1"/>
    </xf>
    <xf numFmtId="0" fontId="44" fillId="3" borderId="1" xfId="3" applyFont="1" applyFill="1" applyBorder="1" applyAlignment="1">
      <alignment horizontal="left" vertical="center" indent="2"/>
    </xf>
    <xf numFmtId="0" fontId="45" fillId="3" borderId="1" xfId="3" applyFont="1" applyFill="1" applyBorder="1" applyAlignment="1">
      <alignment horizontal="left" vertical="center" indent="2"/>
    </xf>
    <xf numFmtId="4" fontId="38" fillId="3" borderId="1" xfId="0" applyNumberFormat="1" applyFont="1" applyFill="1" applyBorder="1" applyAlignment="1">
      <alignment horizontal="center" vertical="center" wrapText="1"/>
    </xf>
    <xf numFmtId="4" fontId="38" fillId="0" borderId="1" xfId="0" applyNumberFormat="1" applyFont="1" applyBorder="1" applyAlignment="1">
      <alignment horizontal="center" vertical="center" wrapText="1"/>
    </xf>
    <xf numFmtId="0" fontId="45" fillId="3" borderId="1" xfId="3" applyFont="1" applyFill="1" applyBorder="1" applyAlignment="1">
      <alignment horizontal="right" vertical="center" indent="2"/>
    </xf>
    <xf numFmtId="3" fontId="38" fillId="3" borderId="1" xfId="0" applyNumberFormat="1" applyFont="1" applyFill="1" applyBorder="1" applyAlignment="1">
      <alignment horizontal="center" vertical="center" wrapText="1"/>
    </xf>
    <xf numFmtId="0" fontId="38" fillId="10" borderId="1" xfId="0" applyFont="1" applyFill="1" applyBorder="1" applyAlignment="1">
      <alignment vertical="center"/>
    </xf>
    <xf numFmtId="4" fontId="38" fillId="3" borderId="12" xfId="0" applyNumberFormat="1" applyFont="1" applyFill="1" applyBorder="1" applyAlignment="1">
      <alignment horizontal="center" vertical="center" wrapText="1"/>
    </xf>
    <xf numFmtId="0" fontId="45" fillId="3" borderId="15" xfId="3" applyFont="1" applyFill="1" applyBorder="1" applyAlignment="1">
      <alignment vertical="center"/>
    </xf>
    <xf numFmtId="0" fontId="47" fillId="0" borderId="1" xfId="0" applyFont="1" applyBorder="1" applyAlignment="1">
      <alignment vertical="center" wrapText="1"/>
    </xf>
    <xf numFmtId="0" fontId="15" fillId="0" borderId="34" xfId="0" applyFont="1" applyBorder="1" applyAlignment="1">
      <alignment horizontal="center" vertical="center"/>
    </xf>
    <xf numFmtId="4" fontId="35" fillId="0" borderId="1" xfId="0" applyNumberFormat="1" applyFont="1" applyBorder="1" applyAlignment="1">
      <alignment horizontal="center" vertical="center" wrapText="1"/>
    </xf>
    <xf numFmtId="0" fontId="92" fillId="10" borderId="10" xfId="0" applyFont="1" applyFill="1" applyBorder="1" applyAlignment="1">
      <alignment vertical="center" wrapText="1"/>
    </xf>
    <xf numFmtId="0" fontId="35" fillId="0" borderId="3" xfId="0" applyFont="1" applyBorder="1" applyAlignment="1">
      <alignment vertical="center"/>
    </xf>
    <xf numFmtId="0" fontId="92" fillId="10" borderId="3" xfId="0" applyFont="1" applyFill="1" applyBorder="1" applyAlignment="1">
      <alignment vertical="center" wrapText="1"/>
    </xf>
    <xf numFmtId="0" fontId="92" fillId="10" borderId="35" xfId="0" applyFont="1" applyFill="1" applyBorder="1" applyAlignment="1">
      <alignment vertical="center" wrapText="1"/>
    </xf>
    <xf numFmtId="0" fontId="43" fillId="10" borderId="1" xfId="0" applyFont="1" applyFill="1" applyBorder="1" applyAlignment="1">
      <alignment horizontal="center" vertical="center"/>
    </xf>
    <xf numFmtId="4" fontId="116" fillId="10" borderId="1" xfId="0" applyNumberFormat="1" applyFont="1" applyFill="1" applyBorder="1" applyAlignment="1">
      <alignment horizontal="center" vertical="center"/>
    </xf>
    <xf numFmtId="4" fontId="43" fillId="10" borderId="1" xfId="0" applyNumberFormat="1" applyFont="1" applyFill="1" applyBorder="1" applyAlignment="1">
      <alignment horizontal="center" vertical="center"/>
    </xf>
    <xf numFmtId="171" fontId="43" fillId="10" borderId="1" xfId="0" applyNumberFormat="1" applyFont="1" applyFill="1" applyBorder="1" applyAlignment="1">
      <alignment horizontal="center" vertical="center"/>
    </xf>
    <xf numFmtId="0" fontId="0" fillId="0" borderId="13" xfId="0" applyBorder="1"/>
    <xf numFmtId="0" fontId="116" fillId="10" borderId="14" xfId="0" applyFont="1" applyFill="1" applyBorder="1" applyAlignment="1">
      <alignment horizontal="center" vertical="center"/>
    </xf>
    <xf numFmtId="0" fontId="116" fillId="10" borderId="15" xfId="0" applyFont="1" applyFill="1" applyBorder="1" applyAlignment="1">
      <alignment horizontal="center" vertical="center"/>
    </xf>
    <xf numFmtId="4" fontId="36" fillId="10" borderId="4" xfId="0" applyNumberFormat="1" applyFont="1" applyFill="1" applyBorder="1" applyAlignment="1">
      <alignment horizontal="center" vertical="center"/>
    </xf>
    <xf numFmtId="10" fontId="31" fillId="6" borderId="4" xfId="2" applyNumberFormat="1" applyFont="1" applyFill="1" applyBorder="1" applyAlignment="1" applyProtection="1">
      <alignment horizontal="center" vertical="center"/>
    </xf>
    <xf numFmtId="167" fontId="33" fillId="6" borderId="17" xfId="2" applyNumberFormat="1" applyFont="1" applyFill="1" applyBorder="1" applyAlignment="1" applyProtection="1">
      <alignment horizontal="center" vertical="center"/>
    </xf>
    <xf numFmtId="0" fontId="122" fillId="8" borderId="8" xfId="3" applyFont="1" applyFill="1" applyBorder="1" applyAlignment="1">
      <alignment horizontal="left" vertical="center" wrapText="1"/>
    </xf>
    <xf numFmtId="0" fontId="122" fillId="8" borderId="4" xfId="3" applyFont="1" applyFill="1" applyBorder="1" applyAlignment="1">
      <alignment horizontal="left" vertical="center" wrapText="1"/>
    </xf>
    <xf numFmtId="4" fontId="49" fillId="4" borderId="4" xfId="0" applyNumberFormat="1" applyFont="1" applyFill="1" applyBorder="1" applyAlignment="1" applyProtection="1">
      <alignment horizontal="center" vertical="center"/>
      <protection locked="0"/>
    </xf>
    <xf numFmtId="0" fontId="74" fillId="8" borderId="7" xfId="0" applyFont="1" applyFill="1" applyBorder="1" applyAlignment="1">
      <alignment horizontal="center" vertical="center" wrapText="1"/>
    </xf>
    <xf numFmtId="0" fontId="74" fillId="8" borderId="5" xfId="0" applyFont="1" applyFill="1" applyBorder="1" applyAlignment="1">
      <alignment horizontal="center" vertical="center" wrapText="1"/>
    </xf>
    <xf numFmtId="0" fontId="74" fillId="8" borderId="6" xfId="0" applyFont="1" applyFill="1" applyBorder="1" applyAlignment="1">
      <alignment horizontal="center" vertical="center" wrapText="1"/>
    </xf>
    <xf numFmtId="0" fontId="29" fillId="8" borderId="7" xfId="3" applyFont="1" applyFill="1" applyBorder="1" applyAlignment="1">
      <alignment horizontal="left" vertical="center"/>
    </xf>
    <xf numFmtId="0" fontId="29" fillId="8" borderId="5" xfId="3" applyFont="1" applyFill="1" applyBorder="1" applyAlignment="1">
      <alignment horizontal="left" vertical="center"/>
    </xf>
    <xf numFmtId="0" fontId="33" fillId="8" borderId="4" xfId="3" applyFont="1" applyFill="1" applyBorder="1" applyAlignment="1">
      <alignment horizontal="center" vertical="center"/>
    </xf>
    <xf numFmtId="0" fontId="29" fillId="8" borderId="4" xfId="3" applyFont="1" applyFill="1" applyBorder="1" applyAlignment="1">
      <alignment horizontal="left" vertical="center"/>
    </xf>
    <xf numFmtId="0" fontId="33" fillId="8" borderId="17" xfId="3" applyFont="1" applyFill="1" applyBorder="1" applyAlignment="1">
      <alignment horizontal="center" vertical="center" wrapText="1"/>
    </xf>
    <xf numFmtId="0" fontId="33" fillId="8" borderId="8" xfId="3" applyFont="1" applyFill="1" applyBorder="1" applyAlignment="1">
      <alignment horizontal="center" vertical="center" wrapText="1"/>
    </xf>
    <xf numFmtId="0" fontId="33" fillId="8" borderId="7" xfId="3" applyFont="1" applyFill="1" applyBorder="1" applyAlignment="1">
      <alignment horizontal="center" vertical="center"/>
    </xf>
    <xf numFmtId="0" fontId="33" fillId="8" borderId="5" xfId="3" applyFont="1" applyFill="1" applyBorder="1" applyAlignment="1">
      <alignment horizontal="center" vertical="center"/>
    </xf>
    <xf numFmtId="0" fontId="33" fillId="8" borderId="6" xfId="3" applyFont="1" applyFill="1" applyBorder="1" applyAlignment="1">
      <alignment horizontal="center" vertical="center"/>
    </xf>
    <xf numFmtId="0" fontId="69" fillId="0" borderId="0" xfId="3" applyFont="1" applyAlignment="1">
      <alignment horizontal="left" vertical="top" wrapText="1"/>
    </xf>
    <xf numFmtId="0" fontId="33" fillId="8" borderId="4" xfId="3" applyFont="1" applyFill="1" applyBorder="1" applyAlignment="1">
      <alignment horizontal="left" vertical="center"/>
    </xf>
    <xf numFmtId="0" fontId="84" fillId="9" borderId="0" xfId="5" applyFont="1" applyFill="1" applyAlignment="1">
      <alignment horizontal="center"/>
    </xf>
    <xf numFmtId="0" fontId="85" fillId="9" borderId="18" xfId="0" applyFont="1" applyFill="1" applyBorder="1" applyAlignment="1">
      <alignment horizontal="center" vertical="center"/>
    </xf>
    <xf numFmtId="0" fontId="53" fillId="9" borderId="0" xfId="0" applyFont="1" applyFill="1" applyAlignment="1">
      <alignment horizontal="center" vertical="center" wrapText="1"/>
    </xf>
    <xf numFmtId="0" fontId="59" fillId="8" borderId="0" xfId="6" applyFont="1" applyFill="1" applyAlignment="1">
      <alignment horizontal="center" vertical="center"/>
    </xf>
    <xf numFmtId="0" fontId="59" fillId="8" borderId="21" xfId="6" applyFont="1" applyFill="1" applyBorder="1" applyAlignment="1">
      <alignment horizontal="center" vertical="center"/>
    </xf>
    <xf numFmtId="0" fontId="59" fillId="8" borderId="19" xfId="6" applyFont="1" applyFill="1" applyBorder="1" applyAlignment="1">
      <alignment horizontal="center" vertical="center"/>
    </xf>
    <xf numFmtId="0" fontId="59" fillId="8" borderId="20" xfId="6" applyFont="1" applyFill="1" applyBorder="1" applyAlignment="1">
      <alignment horizontal="center" vertical="center"/>
    </xf>
    <xf numFmtId="0" fontId="53" fillId="9" borderId="18" xfId="0" applyFont="1" applyFill="1" applyBorder="1" applyAlignment="1">
      <alignment horizontal="left" vertical="center"/>
    </xf>
    <xf numFmtId="0" fontId="53" fillId="9" borderId="16" xfId="0" applyFont="1" applyFill="1" applyBorder="1" applyAlignment="1">
      <alignment horizontal="left" vertical="center"/>
    </xf>
    <xf numFmtId="165" fontId="86" fillId="4" borderId="7" xfId="1" applyFont="1" applyFill="1" applyBorder="1" applyAlignment="1" applyProtection="1">
      <alignment horizontal="left" vertical="center"/>
      <protection locked="0"/>
    </xf>
    <xf numFmtId="165" fontId="86" fillId="4" borderId="5" xfId="1" applyFont="1" applyFill="1" applyBorder="1" applyAlignment="1" applyProtection="1">
      <alignment horizontal="left" vertical="center"/>
      <protection locked="0"/>
    </xf>
    <xf numFmtId="165" fontId="86" fillId="4" borderId="6" xfId="1" applyFont="1" applyFill="1" applyBorder="1" applyAlignment="1" applyProtection="1">
      <alignment horizontal="left" vertical="center"/>
      <protection locked="0"/>
    </xf>
    <xf numFmtId="0" fontId="59" fillId="8" borderId="37" xfId="6" applyFont="1" applyFill="1" applyBorder="1" applyAlignment="1">
      <alignment horizontal="center" vertical="center"/>
    </xf>
    <xf numFmtId="0" fontId="59" fillId="8" borderId="38" xfId="6" applyFont="1" applyFill="1" applyBorder="1" applyAlignment="1">
      <alignment horizontal="center" vertical="center"/>
    </xf>
    <xf numFmtId="0" fontId="59" fillId="8" borderId="18" xfId="6" applyFont="1" applyFill="1" applyBorder="1" applyAlignment="1">
      <alignment horizontal="center" vertical="center"/>
    </xf>
    <xf numFmtId="0" fontId="59" fillId="8" borderId="16" xfId="6" applyFont="1" applyFill="1" applyBorder="1" applyAlignment="1">
      <alignment horizontal="center" vertical="center"/>
    </xf>
    <xf numFmtId="165" fontId="86" fillId="4" borderId="7" xfId="1" applyFont="1" applyFill="1" applyBorder="1" applyAlignment="1" applyProtection="1">
      <alignment horizontal="center" vertical="center"/>
      <protection locked="0"/>
    </xf>
    <xf numFmtId="165" fontId="86" fillId="4" borderId="5" xfId="1" applyFont="1" applyFill="1" applyBorder="1" applyAlignment="1" applyProtection="1">
      <alignment horizontal="center" vertical="center"/>
      <protection locked="0"/>
    </xf>
    <xf numFmtId="165" fontId="86" fillId="4" borderId="6" xfId="1" applyFont="1" applyFill="1" applyBorder="1" applyAlignment="1" applyProtection="1">
      <alignment horizontal="center" vertical="center"/>
      <protection locked="0"/>
    </xf>
    <xf numFmtId="0" fontId="11" fillId="2" borderId="0" xfId="0" applyFont="1" applyFill="1" applyAlignment="1">
      <alignment horizontal="left"/>
    </xf>
    <xf numFmtId="3" fontId="20" fillId="2" borderId="0" xfId="0" applyNumberFormat="1" applyFont="1" applyFill="1" applyAlignment="1">
      <alignment horizontal="center"/>
    </xf>
    <xf numFmtId="0" fontId="20" fillId="2" borderId="0" xfId="0" applyFont="1" applyFill="1" applyAlignment="1">
      <alignment horizontal="center"/>
    </xf>
    <xf numFmtId="165" fontId="68" fillId="4" borderId="7" xfId="1" applyFont="1" applyFill="1" applyBorder="1" applyAlignment="1" applyProtection="1">
      <alignment horizontal="center" vertical="center"/>
      <protection locked="0"/>
    </xf>
    <xf numFmtId="165" fontId="68" fillId="4" borderId="6" xfId="1" applyFont="1" applyFill="1" applyBorder="1" applyAlignment="1" applyProtection="1">
      <alignment horizontal="center" vertical="center"/>
      <protection locked="0"/>
    </xf>
    <xf numFmtId="0" fontId="76" fillId="9" borderId="0" xfId="5" applyFont="1" applyFill="1" applyAlignment="1">
      <alignment horizontal="center"/>
    </xf>
    <xf numFmtId="0" fontId="77" fillId="9" borderId="0" xfId="0" applyFont="1" applyFill="1" applyAlignment="1">
      <alignment horizontal="center" vertical="center"/>
    </xf>
    <xf numFmtId="165" fontId="68" fillId="4" borderId="46" xfId="1" applyFont="1" applyFill="1" applyBorder="1" applyAlignment="1" applyProtection="1">
      <alignment horizontal="left" vertical="center"/>
      <protection locked="0"/>
    </xf>
    <xf numFmtId="165" fontId="68" fillId="4" borderId="0" xfId="1" applyFont="1" applyFill="1" applyBorder="1" applyAlignment="1" applyProtection="1">
      <alignment horizontal="left" vertical="center"/>
      <protection locked="0"/>
    </xf>
    <xf numFmtId="0" fontId="52" fillId="9" borderId="11" xfId="0" applyFont="1" applyFill="1" applyBorder="1" applyAlignment="1">
      <alignment horizontal="center" vertical="center" wrapText="1"/>
    </xf>
    <xf numFmtId="0" fontId="52" fillId="9" borderId="12" xfId="0" applyFont="1" applyFill="1" applyBorder="1" applyAlignment="1">
      <alignment horizontal="center" vertical="center" wrapText="1"/>
    </xf>
    <xf numFmtId="0" fontId="22" fillId="0" borderId="0" xfId="4" applyFont="1"/>
    <xf numFmtId="0" fontId="7" fillId="0" borderId="0" xfId="4"/>
    <xf numFmtId="0" fontId="35" fillId="0" borderId="0" xfId="0" applyFont="1" applyAlignment="1">
      <alignment vertical="center" wrapText="1"/>
    </xf>
    <xf numFmtId="0" fontId="34" fillId="0" borderId="0" xfId="0" applyFont="1" applyAlignment="1">
      <alignment horizontal="center" vertical="center" wrapText="1"/>
    </xf>
    <xf numFmtId="0" fontId="51" fillId="9" borderId="11" xfId="0" applyFont="1" applyFill="1" applyBorder="1" applyAlignment="1">
      <alignment horizontal="center" vertical="center" wrapText="1"/>
    </xf>
    <xf numFmtId="0" fontId="51" fillId="9" borderId="23" xfId="0" applyFont="1" applyFill="1" applyBorder="1" applyAlignment="1">
      <alignment horizontal="center" vertical="center" wrapText="1"/>
    </xf>
    <xf numFmtId="0" fontId="51" fillId="9" borderId="12" xfId="0" applyFont="1" applyFill="1" applyBorder="1" applyAlignment="1">
      <alignment horizontal="center" vertical="center" wrapText="1"/>
    </xf>
    <xf numFmtId="0" fontId="15" fillId="0" borderId="0" xfId="4" applyFont="1"/>
    <xf numFmtId="0" fontId="7" fillId="0" borderId="1" xfId="4" applyBorder="1" applyAlignment="1">
      <alignment horizontal="center"/>
    </xf>
    <xf numFmtId="49" fontId="39" fillId="0" borderId="0" xfId="4" applyNumberFormat="1" applyFont="1" applyAlignment="1">
      <alignment horizontal="center"/>
    </xf>
    <xf numFmtId="49" fontId="7" fillId="0" borderId="0" xfId="4" applyNumberFormat="1" applyAlignment="1">
      <alignment horizontal="center"/>
    </xf>
    <xf numFmtId="0" fontId="114" fillId="10" borderId="1" xfId="0" applyFont="1" applyFill="1" applyBorder="1" applyAlignment="1">
      <alignment vertical="center" wrapText="1"/>
    </xf>
    <xf numFmtId="0" fontId="43" fillId="10" borderId="1" xfId="0" applyFont="1" applyFill="1" applyBorder="1" applyAlignment="1">
      <alignment horizontal="center" vertical="center" wrapText="1"/>
    </xf>
  </cellXfs>
  <cellStyles count="15">
    <cellStyle name="b4" xfId="8" xr:uid="{00000000-0005-0000-0000-000000000000}"/>
    <cellStyle name="BL1" xfId="7" xr:uid="{00000000-0005-0000-0000-000001000000}"/>
    <cellStyle name="BL2" xfId="9" xr:uid="{00000000-0005-0000-0000-000002000000}"/>
    <cellStyle name="BL3" xfId="10" xr:uid="{00000000-0005-0000-0000-000003000000}"/>
    <cellStyle name="Milliers" xfId="1" builtinId="3"/>
    <cellStyle name="Moeda 2" xfId="14" xr:uid="{00000000-0005-0000-0000-000005000000}"/>
    <cellStyle name="Monétaire" xfId="11" builtinId="4"/>
    <cellStyle name="Normal" xfId="0" builtinId="0"/>
    <cellStyle name="Normal 2" xfId="3" xr:uid="{00000000-0005-0000-0000-000008000000}"/>
    <cellStyle name="Normal 2 2" xfId="5" xr:uid="{00000000-0005-0000-0000-000009000000}"/>
    <cellStyle name="Normal 2 3" xfId="12" xr:uid="{00000000-0005-0000-0000-00000A000000}"/>
    <cellStyle name="Normal 3" xfId="4" xr:uid="{00000000-0005-0000-0000-00000B000000}"/>
    <cellStyle name="Normal 3 2" xfId="13" xr:uid="{00000000-0005-0000-0000-00000C000000}"/>
    <cellStyle name="Normal 45" xfId="6" xr:uid="{00000000-0005-0000-0000-00000D000000}"/>
    <cellStyle name="Pourcentage" xfId="2" builtinId="5"/>
  </cellStyles>
  <dxfs count="0"/>
  <tableStyles count="0" defaultTableStyle="TableStyleMedium9" defaultPivotStyle="PivotStyleLight16"/>
  <colors>
    <mruColors>
      <color rgb="FFE5F4F7"/>
      <color rgb="FFFEBEF6"/>
      <color rgb="FFFBD5F8"/>
      <color rgb="FF003192"/>
      <color rgb="FF0044CC"/>
      <color rgb="FFF9B5EA"/>
      <color rgb="FFFFF6DD"/>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2069225</xdr:colOff>
      <xdr:row>1</xdr:row>
      <xdr:rowOff>19519</xdr:rowOff>
    </xdr:from>
    <xdr:to>
      <xdr:col>2</xdr:col>
      <xdr:colOff>322990</xdr:colOff>
      <xdr:row>5</xdr:row>
      <xdr:rowOff>85745</xdr:rowOff>
    </xdr:to>
    <xdr:pic>
      <xdr:nvPicPr>
        <xdr:cNvPr id="3" name="Image 2">
          <a:extLst>
            <a:ext uri="{FF2B5EF4-FFF2-40B4-BE49-F238E27FC236}">
              <a16:creationId xmlns:a16="http://schemas.microsoft.com/office/drawing/2014/main" id="{1DCF1C1C-F3D6-4DFA-B736-66FF88A139F6}"/>
            </a:ext>
          </a:extLst>
        </xdr:cNvPr>
        <xdr:cNvPicPr>
          <a:picLocks noChangeAspect="1"/>
        </xdr:cNvPicPr>
      </xdr:nvPicPr>
      <xdr:blipFill>
        <a:blip xmlns:r="http://schemas.openxmlformats.org/officeDocument/2006/relationships" r:embed="rId1"/>
        <a:stretch>
          <a:fillRect/>
        </a:stretch>
      </xdr:blipFill>
      <xdr:spPr>
        <a:xfrm>
          <a:off x="2220311" y="183743"/>
          <a:ext cx="3077408" cy="7231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891540</xdr:colOff>
      <xdr:row>15</xdr:row>
      <xdr:rowOff>60960</xdr:rowOff>
    </xdr:from>
    <xdr:to>
      <xdr:col>6</xdr:col>
      <xdr:colOff>292062</xdr:colOff>
      <xdr:row>16</xdr:row>
      <xdr:rowOff>171506</xdr:rowOff>
    </xdr:to>
    <xdr:pic>
      <xdr:nvPicPr>
        <xdr:cNvPr id="3" name="Picture 2">
          <a:extLst>
            <a:ext uri="{FF2B5EF4-FFF2-40B4-BE49-F238E27FC236}">
              <a16:creationId xmlns:a16="http://schemas.microsoft.com/office/drawing/2014/main" id="{EF1E775D-E19E-7215-C847-89283A242B26}"/>
            </a:ext>
          </a:extLst>
        </xdr:cNvPr>
        <xdr:cNvPicPr>
          <a:picLocks noChangeAspect="1"/>
        </xdr:cNvPicPr>
      </xdr:nvPicPr>
      <xdr:blipFill>
        <a:blip xmlns:r="http://schemas.openxmlformats.org/officeDocument/2006/relationships" r:embed="rId1"/>
        <a:stretch>
          <a:fillRect/>
        </a:stretch>
      </xdr:blipFill>
      <xdr:spPr>
        <a:xfrm>
          <a:off x="891540" y="3299460"/>
          <a:ext cx="4277322" cy="400106"/>
        </a:xfrm>
        <a:prstGeom prst="rect">
          <a:avLst/>
        </a:prstGeom>
      </xdr:spPr>
    </xdr:pic>
    <xdr:clientData/>
  </xdr:twoCellAnchor>
  <xdr:twoCellAnchor editAs="oneCell">
    <xdr:from>
      <xdr:col>5</xdr:col>
      <xdr:colOff>7620</xdr:colOff>
      <xdr:row>30</xdr:row>
      <xdr:rowOff>99060</xdr:rowOff>
    </xdr:from>
    <xdr:to>
      <xdr:col>6</xdr:col>
      <xdr:colOff>282089</xdr:colOff>
      <xdr:row>32</xdr:row>
      <xdr:rowOff>120072</xdr:rowOff>
    </xdr:to>
    <xdr:pic>
      <xdr:nvPicPr>
        <xdr:cNvPr id="4" name="Picture 3">
          <a:extLst>
            <a:ext uri="{FF2B5EF4-FFF2-40B4-BE49-F238E27FC236}">
              <a16:creationId xmlns:a16="http://schemas.microsoft.com/office/drawing/2014/main" id="{F5BFE7E2-7884-9163-501F-A87AE4ABE244}"/>
            </a:ext>
          </a:extLst>
        </xdr:cNvPr>
        <xdr:cNvPicPr>
          <a:picLocks noChangeAspect="1"/>
        </xdr:cNvPicPr>
      </xdr:nvPicPr>
      <xdr:blipFill>
        <a:blip xmlns:r="http://schemas.openxmlformats.org/officeDocument/2006/relationships" r:embed="rId2"/>
        <a:stretch>
          <a:fillRect/>
        </a:stretch>
      </xdr:blipFill>
      <xdr:spPr>
        <a:xfrm>
          <a:off x="4091940" y="6240780"/>
          <a:ext cx="1066949" cy="40963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5386C42-7137-4307-A5DF-CBC709E89924}">
  <we:reference id="wa200010725" version="1.0.0.1" store="fr-FR" storeType="OMEX"/>
  <we:alternateReferences>
    <we:reference id="wa200010725" version="1.0.0.1" store="WA200010725" storeType="OMEX"/>
  </we:alternateReferences>
  <we:properties>
    <we:property name="claude.fileId" value="&quot;36b33e55-0303-487a-8202-beda59efbcf3&quot;"/>
  </we:properties>
  <we:bindings/>
  <we:snapshot xmlns:r="http://schemas.openxmlformats.org/officeDocument/2006/relationships"/>
</we:webextension>
</file>

<file path=xl/webextensions/webextension2.xml><?xml version="1.0" encoding="utf-8"?>
<we:webextension xmlns:we="http://schemas.microsoft.com/office/webextensions/webextension/2010/11" id="{850377A3-DF8D-4A17-A1D2-875F709C8E73}">
  <we:reference id="WA200009404" version="1.0.0.8" store="Omex" storeType="OMEX"/>
  <we:alternateReferences>
    <we:reference id="WA200009404" version="1.0.0.8" store="WA200009404" storeType="OMEX"/>
  </we:alternateReferences>
  <we:properties>
    <we:property name="claude.fileId" value="&quot;ace9c796-230c-480b-813a-fa7d9328049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D33"/>
  <sheetViews>
    <sheetView showGridLines="0" topLeftCell="A2" zoomScale="90" zoomScaleNormal="145" workbookViewId="0">
      <selection activeCell="C36" sqref="C36"/>
    </sheetView>
  </sheetViews>
  <sheetFormatPr baseColWidth="10" defaultColWidth="11.44140625" defaultRowHeight="13.2"/>
  <cols>
    <col min="1" max="1" width="2.33203125" customWidth="1"/>
    <col min="2" max="2" width="72.33203125" customWidth="1"/>
    <col min="3" max="3" width="46" style="36" customWidth="1"/>
    <col min="4" max="4" width="2.88671875" customWidth="1"/>
  </cols>
  <sheetData>
    <row r="1" spans="1:4" ht="13.8">
      <c r="A1" s="142"/>
      <c r="B1" s="142"/>
      <c r="C1" s="142"/>
      <c r="D1" s="142"/>
    </row>
    <row r="2" spans="1:4" ht="13.8">
      <c r="A2" s="142"/>
      <c r="B2" s="36"/>
      <c r="D2" s="142"/>
    </row>
    <row r="3" spans="1:4" ht="13.8">
      <c r="A3" s="142"/>
      <c r="B3" s="36"/>
      <c r="D3" s="142"/>
    </row>
    <row r="4" spans="1:4" ht="13.8">
      <c r="A4" s="142"/>
      <c r="B4" s="36"/>
      <c r="D4" s="142"/>
    </row>
    <row r="5" spans="1:4" ht="13.8">
      <c r="A5" s="142"/>
      <c r="B5" s="36"/>
      <c r="D5" s="142"/>
    </row>
    <row r="6" spans="1:4" ht="13.8">
      <c r="A6" s="142"/>
      <c r="B6" s="36"/>
      <c r="D6" s="142"/>
    </row>
    <row r="7" spans="1:4" ht="9" customHeight="1">
      <c r="A7" s="142"/>
      <c r="B7" s="36"/>
      <c r="D7" s="142"/>
    </row>
    <row r="8" spans="1:4" ht="10.5" customHeight="1">
      <c r="A8" s="142"/>
      <c r="B8" s="142"/>
      <c r="C8" s="142"/>
      <c r="D8" s="142"/>
    </row>
    <row r="9" spans="1:4" ht="6" customHeight="1">
      <c r="A9" s="142"/>
      <c r="B9" s="143"/>
      <c r="C9" s="143"/>
      <c r="D9" s="142"/>
    </row>
    <row r="10" spans="1:4" ht="13.8">
      <c r="A10" s="142"/>
      <c r="B10" s="144" t="s">
        <v>111</v>
      </c>
      <c r="C10" s="143"/>
      <c r="D10" s="142"/>
    </row>
    <row r="11" spans="1:4" ht="13.8">
      <c r="A11" s="142"/>
      <c r="B11" s="145"/>
      <c r="C11" s="143"/>
      <c r="D11" s="142"/>
    </row>
    <row r="12" spans="1:4" ht="13.8">
      <c r="A12" s="142"/>
      <c r="B12" s="146" t="s">
        <v>112</v>
      </c>
      <c r="C12" s="147" t="s">
        <v>117</v>
      </c>
      <c r="D12" s="142"/>
    </row>
    <row r="13" spans="1:4" ht="6" customHeight="1">
      <c r="A13" s="142"/>
      <c r="B13" s="146"/>
      <c r="C13" s="146"/>
      <c r="D13" s="142"/>
    </row>
    <row r="14" spans="1:4" ht="13.8">
      <c r="A14" s="142"/>
      <c r="B14" s="146" t="s">
        <v>113</v>
      </c>
      <c r="C14" s="148" t="s">
        <v>114</v>
      </c>
      <c r="D14" s="142"/>
    </row>
    <row r="15" spans="1:4" ht="6" customHeight="1">
      <c r="A15" s="142"/>
      <c r="B15" s="146"/>
      <c r="C15" s="146"/>
      <c r="D15" s="142"/>
    </row>
    <row r="16" spans="1:4" ht="13.8">
      <c r="A16" s="142"/>
      <c r="B16" s="146" t="s">
        <v>115</v>
      </c>
      <c r="C16" s="149">
        <v>46203</v>
      </c>
      <c r="D16" s="142"/>
    </row>
    <row r="17" spans="1:4" ht="6" customHeight="1">
      <c r="A17" s="142"/>
      <c r="B17" s="146"/>
      <c r="C17" s="146"/>
      <c r="D17" s="142"/>
    </row>
    <row r="18" spans="1:4" ht="13.8">
      <c r="A18" s="142"/>
      <c r="B18" s="146" t="s">
        <v>116</v>
      </c>
      <c r="C18" s="150" t="s">
        <v>118</v>
      </c>
      <c r="D18" s="142"/>
    </row>
    <row r="19" spans="1:4" ht="13.8">
      <c r="A19" s="142"/>
      <c r="B19" s="151"/>
      <c r="C19" s="152"/>
      <c r="D19" s="142"/>
    </row>
    <row r="20" spans="1:4" ht="10.5" customHeight="1">
      <c r="A20" s="142"/>
      <c r="B20" s="142"/>
      <c r="C20" s="142"/>
      <c r="D20" s="142"/>
    </row>
    <row r="21" spans="1:4" ht="7.5" customHeight="1">
      <c r="A21" s="142"/>
      <c r="B21" s="151"/>
      <c r="C21" s="151"/>
      <c r="D21" s="142"/>
    </row>
    <row r="22" spans="1:4" ht="12" customHeight="1">
      <c r="A22" s="142"/>
      <c r="B22" s="144" t="s">
        <v>110</v>
      </c>
      <c r="C22" s="151"/>
      <c r="D22" s="142"/>
    </row>
    <row r="23" spans="1:4" ht="13.8">
      <c r="A23" s="142"/>
      <c r="B23" s="145"/>
      <c r="C23" s="151"/>
      <c r="D23" s="142"/>
    </row>
    <row r="24" spans="1:4" ht="13.8">
      <c r="A24" s="142"/>
      <c r="B24" s="146" t="s">
        <v>94</v>
      </c>
      <c r="C24" s="35">
        <v>100</v>
      </c>
      <c r="D24" s="142"/>
    </row>
    <row r="25" spans="1:4" ht="13.8">
      <c r="A25" s="142"/>
      <c r="B25" s="145"/>
      <c r="C25" s="153"/>
      <c r="D25" s="142"/>
    </row>
    <row r="26" spans="1:4" ht="13.8">
      <c r="A26" s="142"/>
      <c r="B26" s="146" t="s">
        <v>109</v>
      </c>
      <c r="C26" s="154">
        <v>100</v>
      </c>
      <c r="D26" s="142"/>
    </row>
    <row r="27" spans="1:4" ht="13.8">
      <c r="A27" s="142"/>
      <c r="B27" s="145"/>
      <c r="C27" s="153"/>
      <c r="D27" s="142"/>
    </row>
    <row r="28" spans="1:4" ht="13.8">
      <c r="A28" s="142"/>
      <c r="B28" s="146" t="s">
        <v>95</v>
      </c>
      <c r="C28" s="155">
        <v>100</v>
      </c>
      <c r="D28" s="142"/>
    </row>
    <row r="29" spans="1:4" ht="13.8">
      <c r="A29" s="142"/>
      <c r="B29" s="146"/>
      <c r="C29" s="146"/>
      <c r="D29" s="142"/>
    </row>
    <row r="30" spans="1:4" ht="13.8">
      <c r="A30" s="142"/>
      <c r="B30" s="146" t="s">
        <v>247</v>
      </c>
      <c r="C30" s="156">
        <v>100</v>
      </c>
      <c r="D30" s="142"/>
    </row>
    <row r="31" spans="1:4" ht="13.8">
      <c r="A31" s="142"/>
      <c r="B31" s="145"/>
      <c r="C31" s="151"/>
      <c r="D31" s="142"/>
    </row>
    <row r="32" spans="1:4" ht="13.8">
      <c r="A32" s="142"/>
      <c r="B32" s="142"/>
      <c r="C32" s="142"/>
      <c r="D32" s="142"/>
    </row>
    <row r="33" spans="1:1" ht="13.5" customHeight="1">
      <c r="A33" s="37"/>
    </row>
  </sheetData>
  <sheetProtection algorithmName="SHA-512" hashValue="07rrR41WjOaWV1d/sI0lUiE/Tf42e74GBqO0KnCg5QVlRbCSos6EmWZi3Sd2JNvI3nsJU7ptJO1dgM9/fXFCQw==" saltValue="5tfmv5byfeOha/Dk7HDlfQ==" spinCount="100000" sheet="1" formatColumns="0" formatRows="0"/>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pageSetUpPr fitToPage="1"/>
  </sheetPr>
  <dimension ref="A1:AB99"/>
  <sheetViews>
    <sheetView showGridLines="0" zoomScale="70" zoomScaleNormal="70" workbookViewId="0">
      <selection activeCell="A12" sqref="A12"/>
    </sheetView>
  </sheetViews>
  <sheetFormatPr baseColWidth="10" defaultColWidth="11.44140625" defaultRowHeight="14.4"/>
  <cols>
    <col min="1" max="1" width="3.33203125" style="6" customWidth="1"/>
    <col min="2" max="2" width="27.88671875" style="7" customWidth="1"/>
    <col min="3" max="3" width="14.44140625" style="38" customWidth="1"/>
    <col min="4" max="4" width="18.6640625" style="38" customWidth="1"/>
    <col min="5" max="6" width="15.88671875" style="38" bestFit="1" customWidth="1"/>
    <col min="7" max="7" width="26.44140625" style="6" bestFit="1" customWidth="1"/>
    <col min="8" max="8" width="30.6640625" style="6" bestFit="1" customWidth="1"/>
    <col min="9" max="9" width="30.44140625" style="6" bestFit="1" customWidth="1"/>
    <col min="10" max="10" width="17.88671875" style="6" customWidth="1"/>
    <col min="11" max="11" width="23" style="6" customWidth="1"/>
    <col min="12" max="12" width="24.109375" style="6" customWidth="1"/>
    <col min="13" max="13" width="10.33203125" style="6" customWidth="1"/>
    <col min="14" max="14" width="19.88671875" style="6" customWidth="1"/>
    <col min="15" max="15" width="30.6640625" style="6" customWidth="1"/>
    <col min="16" max="18" width="17.33203125" style="6" customWidth="1"/>
    <col min="19" max="19" width="31.88671875" style="6" customWidth="1"/>
    <col min="20" max="20" width="17.33203125" style="6" customWidth="1"/>
    <col min="21" max="21" width="13.5546875" style="6" customWidth="1"/>
    <col min="22" max="22" width="12.33203125" style="6" bestFit="1" customWidth="1"/>
    <col min="23" max="16384" width="11.44140625" style="6"/>
  </cols>
  <sheetData>
    <row r="1" spans="1:20" ht="23.25" customHeight="1">
      <c r="A1" s="58"/>
      <c r="B1" s="306" t="s">
        <v>86</v>
      </c>
      <c r="C1" s="306"/>
      <c r="D1" s="306"/>
      <c r="E1" s="306"/>
      <c r="F1" s="306"/>
      <c r="G1" s="306"/>
      <c r="H1" s="306"/>
      <c r="I1" s="306"/>
      <c r="J1" s="306"/>
      <c r="K1" s="306"/>
      <c r="L1" s="306"/>
      <c r="M1" s="306"/>
      <c r="N1" s="306"/>
      <c r="O1" s="306"/>
      <c r="P1" s="306"/>
      <c r="Q1" s="306"/>
      <c r="R1" s="306"/>
    </row>
    <row r="2" spans="1:20" ht="25.5" customHeight="1">
      <c r="A2" s="59"/>
      <c r="B2" s="306" t="s">
        <v>255</v>
      </c>
      <c r="C2" s="306"/>
      <c r="D2" s="306"/>
      <c r="E2" s="306"/>
      <c r="F2" s="306"/>
      <c r="G2" s="306"/>
      <c r="H2" s="306"/>
      <c r="I2" s="306"/>
      <c r="J2" s="306"/>
      <c r="K2" s="306"/>
      <c r="L2" s="306"/>
      <c r="M2" s="306"/>
      <c r="N2" s="306"/>
      <c r="O2" s="306"/>
      <c r="P2" s="306"/>
      <c r="Q2" s="306"/>
      <c r="R2" s="306"/>
    </row>
    <row r="3" spans="1:20" ht="24.75" customHeight="1">
      <c r="A3" s="59"/>
      <c r="B3" s="307" t="s">
        <v>87</v>
      </c>
      <c r="C3" s="307"/>
      <c r="D3" s="307"/>
      <c r="E3" s="307"/>
      <c r="F3" s="307"/>
      <c r="G3" s="307"/>
      <c r="H3" s="307"/>
      <c r="I3" s="307"/>
      <c r="J3" s="307"/>
      <c r="K3" s="307"/>
      <c r="L3" s="307"/>
      <c r="M3" s="307"/>
      <c r="N3" s="307"/>
      <c r="O3" s="307"/>
      <c r="P3" s="307"/>
      <c r="Q3" s="307"/>
      <c r="R3" s="307"/>
    </row>
    <row r="4" spans="1:20" ht="27" customHeight="1">
      <c r="A4" s="59"/>
      <c r="B4" s="322" t="s">
        <v>250</v>
      </c>
      <c r="C4" s="323"/>
      <c r="D4" s="323"/>
      <c r="E4" s="323"/>
      <c r="F4" s="324"/>
      <c r="G4" s="315"/>
      <c r="H4" s="316"/>
      <c r="I4" s="316"/>
      <c r="J4" s="316"/>
      <c r="K4" s="316"/>
      <c r="L4" s="316"/>
      <c r="M4" s="316"/>
      <c r="N4" s="316"/>
      <c r="O4" s="316"/>
      <c r="P4" s="316"/>
      <c r="Q4" s="316"/>
      <c r="R4" s="317"/>
    </row>
    <row r="5" spans="1:20" ht="16.5" customHeight="1">
      <c r="A5" s="59"/>
      <c r="B5" s="60"/>
      <c r="C5" s="60"/>
      <c r="D5" s="60"/>
      <c r="E5" s="60"/>
      <c r="F5" s="60"/>
      <c r="G5" s="60"/>
      <c r="H5" s="60"/>
      <c r="I5" s="60"/>
    </row>
    <row r="6" spans="1:20" s="32" customFormat="1" ht="33" customHeight="1">
      <c r="A6" s="61"/>
      <c r="B6" s="62" t="s">
        <v>59</v>
      </c>
      <c r="C6" s="63"/>
      <c r="D6" s="63"/>
      <c r="E6" s="63"/>
      <c r="F6" s="63"/>
      <c r="G6" s="64"/>
      <c r="H6" s="64"/>
      <c r="I6" s="64"/>
      <c r="J6" s="65"/>
      <c r="L6" s="308" t="s">
        <v>90</v>
      </c>
      <c r="M6" s="308"/>
      <c r="N6" s="308"/>
      <c r="P6" s="308" t="s">
        <v>54</v>
      </c>
      <c r="Q6" s="308"/>
      <c r="R6" s="308"/>
    </row>
    <row r="7" spans="1:20" ht="31.5" customHeight="1">
      <c r="A7" s="66"/>
      <c r="B7" s="318" t="s">
        <v>14</v>
      </c>
      <c r="C7" s="311"/>
      <c r="D7" s="311"/>
      <c r="E7" s="311"/>
      <c r="F7" s="312"/>
      <c r="G7" s="67" t="s">
        <v>58</v>
      </c>
      <c r="H7" s="67" t="s">
        <v>12</v>
      </c>
      <c r="I7" s="67" t="s">
        <v>13</v>
      </c>
      <c r="J7" s="65"/>
      <c r="K7" s="65"/>
      <c r="L7" s="309" t="s">
        <v>15</v>
      </c>
      <c r="M7" s="310"/>
      <c r="N7" s="31"/>
      <c r="O7" s="65"/>
      <c r="P7" s="311" t="s">
        <v>88</v>
      </c>
      <c r="Q7" s="312"/>
      <c r="R7" s="287">
        <v>5.7200000000000001E-2</v>
      </c>
      <c r="S7" s="68"/>
    </row>
    <row r="8" spans="1:20" ht="24" customHeight="1">
      <c r="A8" s="66"/>
      <c r="B8" s="319"/>
      <c r="C8" s="320"/>
      <c r="D8" s="320"/>
      <c r="E8" s="320"/>
      <c r="F8" s="321"/>
      <c r="G8" s="31"/>
      <c r="H8" s="31"/>
      <c r="I8" s="31"/>
      <c r="J8" s="65"/>
      <c r="K8" s="65"/>
      <c r="L8" s="309" t="s">
        <v>16</v>
      </c>
      <c r="M8" s="310"/>
      <c r="N8" s="31"/>
      <c r="O8" s="65"/>
      <c r="P8" s="309" t="s">
        <v>60</v>
      </c>
      <c r="Q8" s="310"/>
      <c r="R8" s="69">
        <v>0.3</v>
      </c>
      <c r="S8" s="68"/>
    </row>
    <row r="9" spans="1:20" ht="28.5" customHeight="1">
      <c r="A9" s="66"/>
      <c r="B9" s="70"/>
      <c r="C9" s="71"/>
      <c r="D9" s="71"/>
      <c r="E9" s="71"/>
      <c r="F9" s="71"/>
      <c r="G9" s="65"/>
      <c r="H9" s="65"/>
      <c r="I9" s="65"/>
      <c r="J9" s="65"/>
      <c r="K9" s="65"/>
      <c r="L9" s="65"/>
      <c r="M9" s="65"/>
      <c r="N9" s="65"/>
      <c r="O9" s="65"/>
      <c r="P9" s="309" t="s">
        <v>256</v>
      </c>
      <c r="Q9" s="310"/>
      <c r="R9" s="288">
        <v>0.04</v>
      </c>
      <c r="S9" s="72"/>
    </row>
    <row r="10" spans="1:20" ht="15" customHeight="1">
      <c r="A10" s="59"/>
      <c r="T10" s="23"/>
    </row>
    <row r="11" spans="1:20" s="32" customFormat="1" ht="20.25" customHeight="1">
      <c r="A11" s="61"/>
      <c r="B11" s="313" t="s">
        <v>57</v>
      </c>
      <c r="C11" s="313"/>
      <c r="D11" s="313"/>
      <c r="E11" s="313"/>
      <c r="F11" s="313"/>
      <c r="G11" s="313"/>
      <c r="H11" s="313"/>
      <c r="I11" s="313"/>
      <c r="J11" s="313"/>
      <c r="K11" s="313"/>
      <c r="L11" s="313"/>
      <c r="M11" s="313"/>
      <c r="N11" s="313"/>
      <c r="O11" s="313"/>
      <c r="P11" s="313"/>
      <c r="Q11" s="313"/>
      <c r="R11" s="314"/>
    </row>
    <row r="12" spans="1:20" s="32" customFormat="1" ht="12.75" customHeight="1">
      <c r="A12" s="61"/>
      <c r="B12" s="73"/>
      <c r="C12" s="74"/>
      <c r="D12" s="74"/>
      <c r="E12" s="74"/>
      <c r="F12" s="74"/>
      <c r="G12" s="75"/>
      <c r="H12" s="75"/>
      <c r="I12" s="75"/>
      <c r="N12" s="76"/>
      <c r="O12" s="75"/>
      <c r="P12" s="75"/>
      <c r="Q12" s="75"/>
      <c r="R12" s="75"/>
    </row>
    <row r="13" spans="1:20" s="32" customFormat="1" ht="24.75" customHeight="1">
      <c r="A13" s="61"/>
      <c r="B13" s="77" t="s">
        <v>55</v>
      </c>
      <c r="C13" s="78"/>
      <c r="D13" s="78"/>
      <c r="E13" s="78"/>
      <c r="F13" s="78"/>
      <c r="G13" s="77"/>
      <c r="H13" s="77"/>
      <c r="I13" s="77"/>
      <c r="J13" s="77"/>
      <c r="K13" s="77"/>
      <c r="L13" s="77"/>
      <c r="M13" s="76"/>
      <c r="N13" s="76"/>
      <c r="O13" s="77" t="s">
        <v>56</v>
      </c>
      <c r="P13" s="77"/>
      <c r="Q13" s="77"/>
      <c r="R13" s="79"/>
      <c r="T13" s="33"/>
    </row>
    <row r="14" spans="1:20" ht="18">
      <c r="A14" s="59"/>
      <c r="B14" s="80"/>
      <c r="C14" s="81"/>
      <c r="D14" s="81"/>
      <c r="E14" s="81"/>
      <c r="F14" s="81"/>
      <c r="G14" s="21"/>
      <c r="H14" s="21"/>
      <c r="I14" s="21"/>
      <c r="J14" s="21"/>
      <c r="K14" s="21"/>
      <c r="L14" s="21"/>
      <c r="M14" s="21"/>
      <c r="N14" s="21"/>
      <c r="O14" s="80"/>
      <c r="P14" s="21"/>
      <c r="Q14" s="21"/>
      <c r="R14" s="21"/>
      <c r="T14" s="23"/>
    </row>
    <row r="15" spans="1:20" ht="63">
      <c r="B15" s="82" t="s">
        <v>52</v>
      </c>
      <c r="C15" s="83"/>
      <c r="D15" s="83"/>
      <c r="E15" s="83"/>
      <c r="F15" s="83"/>
      <c r="G15" s="26"/>
      <c r="H15" s="26"/>
      <c r="I15" s="26"/>
      <c r="J15" s="26"/>
      <c r="K15" s="26"/>
      <c r="L15" s="26"/>
      <c r="M15" s="26"/>
      <c r="N15" s="26"/>
      <c r="O15" s="82" t="s">
        <v>53</v>
      </c>
      <c r="P15" s="26"/>
      <c r="Q15" s="26"/>
      <c r="R15" s="26"/>
      <c r="S15" s="26"/>
    </row>
    <row r="16" spans="1:20" ht="36">
      <c r="B16" s="84"/>
      <c r="C16" s="85" t="s">
        <v>122</v>
      </c>
      <c r="D16" s="85" t="s">
        <v>123</v>
      </c>
      <c r="E16" s="84"/>
      <c r="F16" s="84"/>
      <c r="I16" s="26"/>
      <c r="J16" s="26"/>
      <c r="K16" s="26"/>
      <c r="L16" s="26"/>
      <c r="M16" s="26"/>
      <c r="N16" s="26"/>
      <c r="O16" s="86"/>
      <c r="P16" s="85" t="s">
        <v>122</v>
      </c>
      <c r="Q16" s="85" t="s">
        <v>123</v>
      </c>
      <c r="R16" s="26"/>
      <c r="S16" s="26"/>
    </row>
    <row r="17" spans="1:25" ht="27" customHeight="1">
      <c r="B17" s="299" t="s">
        <v>124</v>
      </c>
      <c r="C17" s="87" t="s">
        <v>120</v>
      </c>
      <c r="D17" s="87" t="s">
        <v>121</v>
      </c>
      <c r="E17" s="6"/>
      <c r="F17" s="6"/>
      <c r="I17" s="26"/>
      <c r="J17" s="26"/>
      <c r="K17" s="26"/>
      <c r="L17" s="26"/>
      <c r="M17" s="26"/>
      <c r="N17" s="26"/>
      <c r="O17" s="299" t="s">
        <v>124</v>
      </c>
      <c r="P17" s="87" t="s">
        <v>125</v>
      </c>
      <c r="Q17" s="87" t="s">
        <v>126</v>
      </c>
      <c r="R17" s="26"/>
      <c r="S17" s="26"/>
    </row>
    <row r="18" spans="1:25" ht="31.95" customHeight="1">
      <c r="B18" s="300"/>
      <c r="C18" s="42"/>
      <c r="D18" s="42"/>
      <c r="E18" s="6"/>
      <c r="F18" s="6"/>
      <c r="I18" s="26"/>
      <c r="J18" s="26"/>
      <c r="K18" s="26"/>
      <c r="L18" s="26"/>
      <c r="M18" s="26"/>
      <c r="N18" s="26"/>
      <c r="O18" s="300"/>
      <c r="P18" s="42"/>
      <c r="Q18" s="42"/>
      <c r="R18" s="26"/>
      <c r="S18" s="26"/>
    </row>
    <row r="19" spans="1:25" ht="31.95" customHeight="1">
      <c r="B19" s="88"/>
      <c r="C19" s="88"/>
      <c r="D19" s="88"/>
      <c r="E19" s="88"/>
      <c r="F19" s="88"/>
      <c r="G19" s="89"/>
      <c r="H19" s="89"/>
      <c r="I19" s="26"/>
      <c r="J19" s="26"/>
      <c r="K19" s="26"/>
      <c r="L19" s="26"/>
      <c r="M19" s="26"/>
      <c r="N19" s="26"/>
      <c r="O19" s="26" t="s">
        <v>254</v>
      </c>
      <c r="P19" s="26"/>
      <c r="Q19" s="26"/>
      <c r="R19" s="26"/>
      <c r="S19" s="26"/>
    </row>
    <row r="20" spans="1:25" s="21" customFormat="1" ht="21">
      <c r="B20" s="82" t="s">
        <v>48</v>
      </c>
      <c r="C20" s="88"/>
      <c r="D20" s="88"/>
      <c r="E20" s="88"/>
      <c r="F20" s="88"/>
      <c r="G20" s="89"/>
      <c r="H20" s="89"/>
      <c r="I20" s="89"/>
      <c r="J20" s="89"/>
      <c r="K20" s="90"/>
      <c r="L20" s="90"/>
      <c r="M20" s="90"/>
      <c r="N20" s="90"/>
      <c r="O20" s="82" t="s">
        <v>50</v>
      </c>
      <c r="P20" s="89"/>
      <c r="Q20" s="89"/>
      <c r="R20" s="90"/>
      <c r="S20" s="90"/>
    </row>
    <row r="21" spans="1:25" s="21" customFormat="1" ht="70.2" customHeight="1">
      <c r="B21" s="304" t="s">
        <v>238</v>
      </c>
      <c r="C21" s="304"/>
      <c r="D21" s="304"/>
      <c r="E21" s="304"/>
      <c r="F21" s="304"/>
      <c r="G21" s="304"/>
      <c r="H21" s="304"/>
      <c r="I21" s="304"/>
      <c r="J21" s="304"/>
      <c r="K21" s="304"/>
      <c r="L21" s="304"/>
      <c r="M21" s="90"/>
      <c r="N21" s="90"/>
      <c r="O21" s="304" t="s">
        <v>239</v>
      </c>
      <c r="P21" s="304"/>
      <c r="Q21" s="304"/>
      <c r="R21" s="304"/>
      <c r="S21" s="304"/>
      <c r="T21" s="304"/>
      <c r="U21" s="91"/>
      <c r="V21" s="91"/>
      <c r="W21" s="91"/>
      <c r="X21" s="91"/>
      <c r="Y21" s="91"/>
    </row>
    <row r="22" spans="1:25" s="21" customFormat="1" ht="21">
      <c r="B22" s="91"/>
      <c r="C22" s="88"/>
      <c r="D22" s="88"/>
      <c r="E22" s="88"/>
      <c r="F22" s="88"/>
      <c r="G22" s="89"/>
      <c r="H22" s="89"/>
      <c r="I22" s="89"/>
      <c r="J22" s="89"/>
      <c r="K22" s="90"/>
      <c r="L22" s="90"/>
      <c r="M22" s="90"/>
      <c r="N22" s="90"/>
      <c r="O22" s="82"/>
      <c r="P22" s="89"/>
      <c r="Q22" s="89"/>
      <c r="R22" s="90"/>
      <c r="S22" s="90"/>
    </row>
    <row r="23" spans="1:25" ht="24.75" customHeight="1">
      <c r="A23" s="59"/>
      <c r="B23" s="6"/>
      <c r="C23" s="83"/>
      <c r="D23" s="83"/>
      <c r="E23" s="83"/>
      <c r="F23" s="83"/>
      <c r="G23" s="301" t="s">
        <v>131</v>
      </c>
      <c r="H23" s="302"/>
      <c r="I23" s="302"/>
      <c r="J23" s="302"/>
      <c r="K23" s="302"/>
      <c r="L23" s="303"/>
      <c r="M23" s="26"/>
      <c r="N23" s="26"/>
      <c r="P23" s="26"/>
      <c r="Q23" s="26"/>
      <c r="R23" s="26"/>
      <c r="S23" s="26"/>
    </row>
    <row r="24" spans="1:25" ht="44.25" customHeight="1">
      <c r="A24" s="59"/>
      <c r="B24" s="85" t="s">
        <v>132</v>
      </c>
      <c r="C24" s="85" t="s">
        <v>127</v>
      </c>
      <c r="D24" s="85" t="s">
        <v>128</v>
      </c>
      <c r="E24" s="85" t="s">
        <v>129</v>
      </c>
      <c r="F24" s="85" t="s">
        <v>248</v>
      </c>
      <c r="G24" s="92" t="s">
        <v>25</v>
      </c>
      <c r="H24" s="92" t="s">
        <v>26</v>
      </c>
      <c r="I24" s="92" t="s">
        <v>27</v>
      </c>
      <c r="J24" s="92" t="s">
        <v>28</v>
      </c>
      <c r="K24" s="92" t="s">
        <v>29</v>
      </c>
      <c r="L24" s="92" t="s">
        <v>30</v>
      </c>
      <c r="M24" s="26"/>
      <c r="N24" s="26"/>
      <c r="O24" s="85" t="s">
        <v>133</v>
      </c>
      <c r="P24" s="85" t="s">
        <v>165</v>
      </c>
      <c r="Q24" s="85" t="s">
        <v>134</v>
      </c>
      <c r="R24" s="85" t="s">
        <v>135</v>
      </c>
      <c r="S24" s="85" t="s">
        <v>249</v>
      </c>
      <c r="T24" s="92" t="s">
        <v>137</v>
      </c>
    </row>
    <row r="25" spans="1:25" ht="21" customHeight="1">
      <c r="A25" s="59"/>
      <c r="B25" s="93">
        <v>286</v>
      </c>
      <c r="C25" s="45"/>
      <c r="D25" s="94">
        <f>$C$18*C25^2+$D$18*(C25*1)^2</f>
        <v>0</v>
      </c>
      <c r="E25" s="95">
        <f>B25-D25</f>
        <v>286</v>
      </c>
      <c r="F25" s="95">
        <f>998*9.795*E25*C25/1000*G25</f>
        <v>0</v>
      </c>
      <c r="G25" s="43"/>
      <c r="H25" s="43"/>
      <c r="I25" s="43"/>
      <c r="J25" s="43"/>
      <c r="K25" s="43"/>
      <c r="L25" s="43"/>
      <c r="M25" s="26"/>
      <c r="N25" s="26"/>
      <c r="O25" s="93">
        <v>286</v>
      </c>
      <c r="P25" s="34"/>
      <c r="Q25" s="96">
        <f>$P$18*P25^2+$Q$18*(P25*1)^2</f>
        <v>0</v>
      </c>
      <c r="R25" s="95">
        <f>O25+Q25</f>
        <v>286</v>
      </c>
      <c r="S25" s="95" t="e">
        <f>998*9.795*R25*P25/1000/T25</f>
        <v>#DIV/0!</v>
      </c>
      <c r="T25" s="43"/>
    </row>
    <row r="26" spans="1:25" ht="18">
      <c r="A26" s="59"/>
      <c r="B26" s="93">
        <v>270</v>
      </c>
      <c r="C26" s="45"/>
      <c r="D26" s="94">
        <f>$C$18*C26^2+$D$18*(C26*1)^2</f>
        <v>0</v>
      </c>
      <c r="E26" s="95">
        <f>B26-D26</f>
        <v>270</v>
      </c>
      <c r="F26" s="95">
        <f t="shared" ref="F26:F29" si="0">998*9.795*E26*C26/1000*G26</f>
        <v>0</v>
      </c>
      <c r="G26" s="43"/>
      <c r="H26" s="43"/>
      <c r="I26" s="43"/>
      <c r="J26" s="43"/>
      <c r="K26" s="43"/>
      <c r="L26" s="43"/>
      <c r="M26" s="26"/>
      <c r="N26" s="26"/>
      <c r="O26" s="93">
        <v>270</v>
      </c>
      <c r="P26" s="34"/>
      <c r="Q26" s="96">
        <f>$P$18*P26^2+$Q$18*(P26*1)^2</f>
        <v>0</v>
      </c>
      <c r="R26" s="95">
        <f t="shared" ref="R26:R29" si="1">O26+Q26</f>
        <v>270</v>
      </c>
      <c r="S26" s="95" t="e">
        <f t="shared" ref="S26:S29" si="2">998*9.795*R26*P26/1000/T26</f>
        <v>#DIV/0!</v>
      </c>
      <c r="T26" s="43"/>
    </row>
    <row r="27" spans="1:25" ht="18">
      <c r="A27" s="59"/>
      <c r="B27" s="95">
        <f>E27+D27</f>
        <v>250.9</v>
      </c>
      <c r="C27" s="97">
        <v>80</v>
      </c>
      <c r="D27" s="94">
        <f>$C$18*C27^2+$D$18*(C27*1)^2</f>
        <v>0</v>
      </c>
      <c r="E27" s="98">
        <v>250.9</v>
      </c>
      <c r="F27" s="95">
        <f>998*9.795*E27*C27/1000*G27</f>
        <v>0</v>
      </c>
      <c r="G27" s="43"/>
      <c r="H27" s="43"/>
      <c r="I27" s="43"/>
      <c r="J27" s="43"/>
      <c r="K27" s="43"/>
      <c r="L27" s="43"/>
      <c r="M27" s="26"/>
      <c r="N27" s="26"/>
      <c r="O27" s="93">
        <v>254</v>
      </c>
      <c r="P27" s="34"/>
      <c r="Q27" s="96">
        <f>$P$18*P27^2+$Q$18*(P27*1)^2</f>
        <v>0</v>
      </c>
      <c r="R27" s="95">
        <f t="shared" si="1"/>
        <v>254</v>
      </c>
      <c r="S27" s="95" t="e">
        <f t="shared" si="2"/>
        <v>#DIV/0!</v>
      </c>
      <c r="T27" s="43"/>
    </row>
    <row r="28" spans="1:25" ht="18">
      <c r="A28" s="59"/>
      <c r="B28" s="93">
        <v>238</v>
      </c>
      <c r="C28" s="45"/>
      <c r="D28" s="94">
        <f t="shared" ref="D28:D29" si="3">$C$18*C28^2+$D$18*(C28*1)^2</f>
        <v>0</v>
      </c>
      <c r="E28" s="95">
        <f>B28-D28</f>
        <v>238</v>
      </c>
      <c r="F28" s="95">
        <f t="shared" si="0"/>
        <v>0</v>
      </c>
      <c r="G28" s="43"/>
      <c r="H28" s="43"/>
      <c r="I28" s="43"/>
      <c r="J28" s="43"/>
      <c r="K28" s="43"/>
      <c r="L28" s="43"/>
      <c r="M28" s="26"/>
      <c r="N28" s="26"/>
      <c r="O28" s="93">
        <v>238</v>
      </c>
      <c r="P28" s="34"/>
      <c r="Q28" s="96">
        <f>$P$18*P28^2+$Q$18*(P28*1)^2</f>
        <v>0</v>
      </c>
      <c r="R28" s="95">
        <f t="shared" si="1"/>
        <v>238</v>
      </c>
      <c r="S28" s="95" t="e">
        <f t="shared" si="2"/>
        <v>#DIV/0!</v>
      </c>
      <c r="T28" s="43"/>
    </row>
    <row r="29" spans="1:25" ht="18">
      <c r="A29" s="59"/>
      <c r="B29" s="93">
        <v>222</v>
      </c>
      <c r="C29" s="45"/>
      <c r="D29" s="94">
        <f t="shared" si="3"/>
        <v>0</v>
      </c>
      <c r="E29" s="95">
        <f>B29-D29</f>
        <v>222</v>
      </c>
      <c r="F29" s="95">
        <f t="shared" si="0"/>
        <v>0</v>
      </c>
      <c r="G29" s="43"/>
      <c r="H29" s="43"/>
      <c r="I29" s="43"/>
      <c r="J29" s="43"/>
      <c r="K29" s="43"/>
      <c r="L29" s="43"/>
      <c r="M29" s="26"/>
      <c r="N29" s="26"/>
      <c r="O29" s="93">
        <v>222</v>
      </c>
      <c r="P29" s="34"/>
      <c r="Q29" s="96">
        <f>$P$18*P29^2+$Q$18*(P29*1)^2</f>
        <v>0</v>
      </c>
      <c r="R29" s="95">
        <f t="shared" si="1"/>
        <v>222</v>
      </c>
      <c r="S29" s="95" t="e">
        <f t="shared" si="2"/>
        <v>#DIV/0!</v>
      </c>
      <c r="T29" s="43"/>
    </row>
    <row r="30" spans="1:25" ht="18">
      <c r="A30" s="59"/>
      <c r="B30" s="99"/>
      <c r="C30" s="100"/>
      <c r="D30" s="101"/>
      <c r="E30" s="101"/>
      <c r="F30" s="101"/>
      <c r="G30" s="26"/>
      <c r="H30" s="26"/>
      <c r="I30" s="26"/>
      <c r="J30" s="26"/>
      <c r="K30" s="26"/>
      <c r="L30" s="26"/>
      <c r="M30" s="26"/>
      <c r="N30" s="26"/>
      <c r="O30" s="99"/>
      <c r="P30" s="26"/>
      <c r="Q30" s="26"/>
      <c r="R30" s="26"/>
      <c r="S30" s="26"/>
    </row>
    <row r="31" spans="1:25" ht="18">
      <c r="A31" s="59"/>
      <c r="B31" s="99"/>
      <c r="C31" s="101"/>
      <c r="D31" s="101"/>
      <c r="E31" s="101"/>
      <c r="F31" s="101"/>
      <c r="G31" s="26"/>
      <c r="H31" s="26"/>
      <c r="I31" s="26"/>
      <c r="J31" s="26"/>
      <c r="K31" s="26"/>
      <c r="L31" s="26"/>
      <c r="M31" s="26"/>
      <c r="N31" s="26"/>
      <c r="O31" s="99"/>
      <c r="P31" s="26"/>
      <c r="Q31" s="26"/>
      <c r="R31" s="26"/>
      <c r="S31" s="26"/>
    </row>
    <row r="32" spans="1:25" ht="18">
      <c r="A32" s="59"/>
      <c r="B32" s="99"/>
      <c r="C32" s="101"/>
      <c r="D32" s="101"/>
      <c r="E32" s="101"/>
      <c r="F32" s="101"/>
      <c r="G32" s="26"/>
      <c r="H32" s="26"/>
      <c r="I32" s="26"/>
      <c r="J32" s="26"/>
      <c r="K32" s="26"/>
      <c r="L32" s="26"/>
      <c r="M32" s="26"/>
      <c r="N32" s="26"/>
      <c r="O32" s="99"/>
      <c r="P32" s="26"/>
      <c r="Q32" s="26"/>
      <c r="R32" s="26"/>
      <c r="S32" s="26"/>
    </row>
    <row r="33" spans="1:22" ht="18">
      <c r="A33" s="59"/>
      <c r="B33" s="99"/>
      <c r="C33" s="101"/>
      <c r="D33" s="101"/>
      <c r="E33" s="101"/>
      <c r="F33" s="101"/>
      <c r="G33" s="26"/>
      <c r="H33" s="26"/>
      <c r="I33" s="26"/>
      <c r="J33" s="26"/>
      <c r="K33" s="26"/>
      <c r="L33" s="26"/>
      <c r="M33" s="26"/>
      <c r="N33" s="26"/>
      <c r="O33" s="99"/>
      <c r="P33" s="26"/>
      <c r="Q33" s="26"/>
      <c r="R33" s="26"/>
      <c r="S33" s="26"/>
    </row>
    <row r="34" spans="1:22" ht="23.25" customHeight="1">
      <c r="A34" s="59"/>
      <c r="B34" s="102" t="s">
        <v>49</v>
      </c>
      <c r="C34" s="83"/>
      <c r="D34" s="83"/>
      <c r="E34" s="83"/>
      <c r="F34" s="83"/>
      <c r="G34" s="103"/>
      <c r="H34" s="103"/>
      <c r="I34" s="103"/>
      <c r="J34" s="103"/>
      <c r="K34" s="103"/>
      <c r="L34" s="103"/>
      <c r="M34" s="26"/>
      <c r="N34" s="26"/>
      <c r="O34" s="82" t="s">
        <v>51</v>
      </c>
      <c r="P34" s="26"/>
      <c r="Q34" s="26"/>
      <c r="R34" s="26"/>
      <c r="S34" s="26"/>
    </row>
    <row r="35" spans="1:22" ht="23.25" customHeight="1">
      <c r="A35" s="59"/>
      <c r="B35" s="102"/>
      <c r="C35" s="83"/>
      <c r="D35" s="83"/>
      <c r="E35" s="83"/>
      <c r="F35" s="83"/>
      <c r="G35" s="103"/>
      <c r="H35" s="103"/>
      <c r="I35" s="103"/>
      <c r="J35" s="103"/>
      <c r="K35" s="103"/>
      <c r="L35" s="103"/>
      <c r="M35" s="26"/>
      <c r="N35" s="26"/>
      <c r="O35" s="82"/>
      <c r="P35" s="26"/>
      <c r="Q35" s="26"/>
      <c r="R35" s="26"/>
      <c r="S35" s="26"/>
    </row>
    <row r="36" spans="1:22" s="25" customFormat="1" ht="30.6">
      <c r="A36" s="104"/>
      <c r="B36" s="105" t="s">
        <v>179</v>
      </c>
      <c r="C36" s="106" t="s">
        <v>25</v>
      </c>
      <c r="D36" s="106" t="s">
        <v>243</v>
      </c>
      <c r="E36" s="106" t="s">
        <v>27</v>
      </c>
      <c r="F36" s="106" t="s">
        <v>244</v>
      </c>
      <c r="G36" s="106" t="s">
        <v>29</v>
      </c>
      <c r="H36" s="106" t="s">
        <v>30</v>
      </c>
      <c r="I36" s="26"/>
      <c r="J36" s="26"/>
      <c r="K36" s="26"/>
      <c r="L36" s="26"/>
      <c r="M36" s="107"/>
      <c r="N36" s="107"/>
      <c r="O36" s="106" t="s">
        <v>196</v>
      </c>
      <c r="P36" s="108" t="s">
        <v>197</v>
      </c>
      <c r="Q36" s="109" t="s">
        <v>199</v>
      </c>
      <c r="R36" s="109" t="s">
        <v>198</v>
      </c>
      <c r="S36" s="6"/>
      <c r="T36" s="6"/>
      <c r="U36" s="6"/>
      <c r="V36" s="6"/>
    </row>
    <row r="37" spans="1:22" s="25" customFormat="1" ht="21" customHeight="1">
      <c r="A37" s="104"/>
      <c r="B37" s="110" t="s">
        <v>192</v>
      </c>
      <c r="C37" s="111" t="s">
        <v>180</v>
      </c>
      <c r="D37" s="112" t="s">
        <v>181</v>
      </c>
      <c r="E37" s="112" t="s">
        <v>182</v>
      </c>
      <c r="F37" s="112" t="s">
        <v>183</v>
      </c>
      <c r="G37" s="112" t="s">
        <v>184</v>
      </c>
      <c r="H37" s="112" t="s">
        <v>185</v>
      </c>
      <c r="I37" s="26"/>
      <c r="J37" s="26"/>
      <c r="K37" s="26"/>
      <c r="L37" s="26"/>
      <c r="M37" s="107"/>
      <c r="N37" s="107"/>
      <c r="O37" s="93">
        <v>286</v>
      </c>
      <c r="P37" s="43"/>
      <c r="Q37" s="43"/>
      <c r="R37" s="43"/>
      <c r="S37" s="6"/>
      <c r="T37" s="6"/>
      <c r="U37" s="6"/>
      <c r="V37" s="6"/>
    </row>
    <row r="38" spans="1:22" s="25" customFormat="1" ht="15" customHeight="1">
      <c r="A38" s="104"/>
      <c r="B38" s="113"/>
      <c r="C38" s="43"/>
      <c r="D38" s="43"/>
      <c r="E38" s="43"/>
      <c r="F38" s="43"/>
      <c r="G38" s="43"/>
      <c r="H38" s="43"/>
      <c r="I38" s="26"/>
      <c r="J38" s="26"/>
      <c r="K38" s="26"/>
      <c r="L38" s="26"/>
      <c r="M38" s="107"/>
      <c r="N38" s="107"/>
      <c r="O38" s="93">
        <v>270</v>
      </c>
      <c r="P38" s="43"/>
      <c r="Q38" s="43"/>
      <c r="R38" s="43"/>
      <c r="S38" s="6"/>
      <c r="T38" s="6"/>
      <c r="U38" s="6"/>
      <c r="V38" s="6"/>
    </row>
    <row r="39" spans="1:22" s="25" customFormat="1" ht="18">
      <c r="B39" s="110" t="s">
        <v>193</v>
      </c>
      <c r="C39" s="117" t="s">
        <v>186</v>
      </c>
      <c r="D39" s="117" t="s">
        <v>187</v>
      </c>
      <c r="E39" s="117" t="s">
        <v>188</v>
      </c>
      <c r="F39" s="117" t="s">
        <v>189</v>
      </c>
      <c r="G39" s="117" t="s">
        <v>190</v>
      </c>
      <c r="H39" s="117" t="s">
        <v>191</v>
      </c>
      <c r="I39" s="26"/>
      <c r="J39" s="26"/>
      <c r="K39" s="26"/>
      <c r="L39" s="26"/>
      <c r="M39" s="107"/>
      <c r="N39" s="107"/>
      <c r="O39" s="93">
        <v>254</v>
      </c>
      <c r="P39" s="43"/>
      <c r="Q39" s="43"/>
      <c r="R39" s="43"/>
      <c r="S39" s="6"/>
      <c r="T39" s="6"/>
      <c r="U39" s="6"/>
      <c r="V39" s="6"/>
    </row>
    <row r="40" spans="1:22" s="25" customFormat="1" ht="15" customHeight="1">
      <c r="B40" s="113"/>
      <c r="C40" s="43"/>
      <c r="D40" s="43"/>
      <c r="E40" s="43"/>
      <c r="F40" s="43"/>
      <c r="G40" s="43"/>
      <c r="H40" s="43"/>
      <c r="I40" s="26"/>
      <c r="J40" s="26"/>
      <c r="K40" s="26"/>
      <c r="L40" s="26"/>
      <c r="M40" s="107"/>
      <c r="N40" s="107"/>
      <c r="O40" s="93">
        <v>238</v>
      </c>
      <c r="P40" s="43"/>
      <c r="Q40" s="43"/>
      <c r="R40" s="43"/>
      <c r="S40" s="6"/>
      <c r="T40" s="6"/>
      <c r="U40" s="6"/>
      <c r="V40" s="6"/>
    </row>
    <row r="41" spans="1:22" ht="18">
      <c r="B41" s="26"/>
      <c r="C41" s="39"/>
      <c r="D41" s="39"/>
      <c r="E41" s="39"/>
      <c r="F41" s="39"/>
      <c r="G41" s="26"/>
      <c r="H41" s="26"/>
      <c r="I41" s="26"/>
      <c r="J41" s="26"/>
      <c r="K41" s="26"/>
      <c r="L41" s="26"/>
      <c r="M41" s="26"/>
      <c r="N41" s="26"/>
      <c r="O41" s="93">
        <v>222</v>
      </c>
      <c r="P41" s="43"/>
      <c r="Q41" s="43"/>
      <c r="R41" s="43"/>
    </row>
    <row r="42" spans="1:22" ht="18">
      <c r="B42" s="88"/>
      <c r="C42" s="88"/>
      <c r="D42" s="88"/>
      <c r="E42" s="88"/>
      <c r="F42" s="88"/>
      <c r="G42" s="114"/>
      <c r="H42" s="114"/>
      <c r="I42" s="114"/>
      <c r="J42" s="114"/>
      <c r="O42" s="115"/>
      <c r="P42" s="114"/>
      <c r="Q42" s="114"/>
    </row>
    <row r="43" spans="1:22" ht="18">
      <c r="B43" s="88"/>
      <c r="C43" s="88"/>
      <c r="D43" s="88"/>
      <c r="E43" s="88"/>
      <c r="F43" s="88"/>
      <c r="G43" s="114"/>
      <c r="H43" s="114"/>
      <c r="I43" s="114"/>
      <c r="J43" s="114"/>
      <c r="O43" s="115"/>
      <c r="P43" s="114"/>
      <c r="Q43" s="114"/>
    </row>
    <row r="44" spans="1:22" ht="47.25" customHeight="1">
      <c r="B44" s="102" t="s">
        <v>82</v>
      </c>
      <c r="C44" s="102"/>
      <c r="D44" s="40"/>
      <c r="E44" s="40"/>
      <c r="F44" s="40"/>
      <c r="I44" s="21"/>
      <c r="J44" s="76"/>
      <c r="L44" s="116"/>
      <c r="M44" s="116"/>
      <c r="N44" s="116"/>
      <c r="O44" s="102" t="s">
        <v>80</v>
      </c>
      <c r="P44" s="82"/>
      <c r="Q44" s="82"/>
      <c r="R44" s="82"/>
      <c r="S44" s="82"/>
      <c r="T44" s="82"/>
    </row>
    <row r="45" spans="1:22" ht="31.5" customHeight="1">
      <c r="B45" s="305" t="s">
        <v>76</v>
      </c>
      <c r="C45" s="305"/>
      <c r="D45" s="305"/>
      <c r="E45" s="305"/>
      <c r="F45" s="305"/>
      <c r="G45" s="297" t="s">
        <v>77</v>
      </c>
      <c r="H45" s="297"/>
      <c r="I45" s="114"/>
      <c r="J45" s="114"/>
      <c r="O45" s="297" t="s">
        <v>236</v>
      </c>
      <c r="P45" s="297"/>
      <c r="Q45" s="297"/>
      <c r="R45" s="297" t="s">
        <v>77</v>
      </c>
      <c r="S45" s="297"/>
    </row>
    <row r="46" spans="1:22" ht="30" customHeight="1">
      <c r="B46" s="298" t="s">
        <v>204</v>
      </c>
      <c r="C46" s="298"/>
      <c r="D46" s="298"/>
      <c r="E46" s="298"/>
      <c r="F46" s="298"/>
      <c r="G46" s="291"/>
      <c r="H46" s="291"/>
      <c r="I46" s="114"/>
      <c r="J46" s="114"/>
      <c r="O46" s="295" t="s">
        <v>216</v>
      </c>
      <c r="P46" s="296"/>
      <c r="Q46" s="296"/>
      <c r="R46" s="291"/>
      <c r="S46" s="291"/>
    </row>
    <row r="47" spans="1:22" ht="30" customHeight="1">
      <c r="B47" s="298" t="s">
        <v>78</v>
      </c>
      <c r="C47" s="298"/>
      <c r="D47" s="298"/>
      <c r="E47" s="298"/>
      <c r="F47" s="298"/>
      <c r="G47" s="291"/>
      <c r="H47" s="291"/>
      <c r="I47" s="114"/>
      <c r="J47" s="114"/>
      <c r="O47" s="295" t="s">
        <v>217</v>
      </c>
      <c r="P47" s="296"/>
      <c r="Q47" s="296"/>
      <c r="R47" s="291"/>
      <c r="S47" s="291"/>
    </row>
    <row r="48" spans="1:22" ht="30" customHeight="1">
      <c r="B48" s="298" t="s">
        <v>79</v>
      </c>
      <c r="C48" s="298"/>
      <c r="D48" s="298"/>
      <c r="E48" s="298"/>
      <c r="F48" s="298"/>
      <c r="G48" s="291"/>
      <c r="H48" s="291"/>
      <c r="I48" s="114"/>
      <c r="J48" s="114"/>
      <c r="O48" s="295" t="s">
        <v>218</v>
      </c>
      <c r="P48" s="296"/>
      <c r="Q48" s="296"/>
      <c r="R48" s="291"/>
      <c r="S48" s="291"/>
    </row>
    <row r="49" spans="2:28" ht="30" customHeight="1">
      <c r="B49" s="298" t="s">
        <v>205</v>
      </c>
      <c r="C49" s="298"/>
      <c r="D49" s="298"/>
      <c r="E49" s="298"/>
      <c r="F49" s="298"/>
      <c r="G49" s="291"/>
      <c r="H49" s="291"/>
      <c r="I49" s="114"/>
      <c r="J49" s="114"/>
      <c r="O49" s="295" t="s">
        <v>219</v>
      </c>
      <c r="P49" s="296"/>
      <c r="Q49" s="296"/>
      <c r="R49" s="291"/>
      <c r="S49" s="291"/>
    </row>
    <row r="50" spans="2:28" ht="30" customHeight="1">
      <c r="B50" s="298" t="s">
        <v>206</v>
      </c>
      <c r="C50" s="298"/>
      <c r="D50" s="298"/>
      <c r="E50" s="298"/>
      <c r="F50" s="298"/>
      <c r="G50" s="291"/>
      <c r="H50" s="291"/>
      <c r="I50" s="114"/>
      <c r="J50" s="114"/>
      <c r="O50" s="295" t="s">
        <v>220</v>
      </c>
      <c r="P50" s="296"/>
      <c r="Q50" s="296"/>
      <c r="R50" s="291"/>
      <c r="S50" s="291"/>
    </row>
    <row r="51" spans="2:28" ht="35.25" customHeight="1">
      <c r="B51" s="298" t="s">
        <v>207</v>
      </c>
      <c r="C51" s="298"/>
      <c r="D51" s="298"/>
      <c r="E51" s="298"/>
      <c r="F51" s="298"/>
      <c r="G51" s="291"/>
      <c r="H51" s="291"/>
      <c r="I51" s="114"/>
      <c r="J51" s="114"/>
      <c r="O51" s="295" t="s">
        <v>221</v>
      </c>
      <c r="P51" s="296"/>
      <c r="Q51" s="296"/>
      <c r="R51" s="291"/>
      <c r="S51" s="291"/>
    </row>
    <row r="52" spans="2:28" ht="35.25" customHeight="1">
      <c r="B52" s="298" t="s">
        <v>208</v>
      </c>
      <c r="C52" s="298"/>
      <c r="D52" s="298"/>
      <c r="E52" s="298"/>
      <c r="F52" s="298"/>
      <c r="G52" s="291"/>
      <c r="H52" s="291"/>
      <c r="I52" s="118"/>
      <c r="J52" s="21"/>
      <c r="O52" s="295" t="s">
        <v>222</v>
      </c>
      <c r="P52" s="296"/>
      <c r="Q52" s="296"/>
      <c r="R52" s="291"/>
      <c r="S52" s="291"/>
    </row>
    <row r="53" spans="2:28" ht="35.25" customHeight="1">
      <c r="B53" s="298" t="s">
        <v>209</v>
      </c>
      <c r="C53" s="298"/>
      <c r="D53" s="298"/>
      <c r="E53" s="298"/>
      <c r="F53" s="298"/>
      <c r="G53" s="291"/>
      <c r="H53" s="291"/>
      <c r="I53" s="118"/>
      <c r="J53" s="21"/>
      <c r="O53" s="295" t="s">
        <v>83</v>
      </c>
      <c r="P53" s="296"/>
      <c r="Q53" s="296"/>
      <c r="R53" s="291"/>
      <c r="S53" s="291"/>
    </row>
    <row r="54" spans="2:28" ht="35.25" customHeight="1">
      <c r="B54" s="298" t="s">
        <v>210</v>
      </c>
      <c r="C54" s="298"/>
      <c r="D54" s="298"/>
      <c r="E54" s="298"/>
      <c r="F54" s="298"/>
      <c r="G54" s="291"/>
      <c r="H54" s="291"/>
      <c r="I54" s="118"/>
      <c r="J54" s="21"/>
    </row>
    <row r="55" spans="2:28" s="21" customFormat="1" ht="35.25" customHeight="1">
      <c r="B55" s="298" t="s">
        <v>211</v>
      </c>
      <c r="C55" s="298"/>
      <c r="D55" s="298"/>
      <c r="E55" s="298"/>
      <c r="F55" s="298"/>
      <c r="G55" s="291"/>
      <c r="H55" s="291"/>
      <c r="I55" s="115"/>
      <c r="J55" s="118"/>
      <c r="K55" s="119"/>
      <c r="O55" s="120" t="s">
        <v>202</v>
      </c>
      <c r="P55" s="121">
        <v>0.9</v>
      </c>
      <c r="Q55" s="115"/>
      <c r="R55" s="115"/>
      <c r="S55" s="118"/>
      <c r="X55" s="6"/>
      <c r="Y55" s="6"/>
      <c r="Z55" s="6"/>
      <c r="AA55" s="6"/>
      <c r="AB55" s="6"/>
    </row>
    <row r="56" spans="2:28" s="21" customFormat="1" ht="35.25" customHeight="1">
      <c r="B56" s="298" t="s">
        <v>212</v>
      </c>
      <c r="C56" s="298"/>
      <c r="D56" s="298"/>
      <c r="E56" s="298"/>
      <c r="F56" s="298"/>
      <c r="G56" s="291"/>
      <c r="H56" s="291"/>
      <c r="I56" s="115"/>
      <c r="J56" s="118"/>
      <c r="K56" s="119"/>
      <c r="O56" s="120" t="s">
        <v>203</v>
      </c>
      <c r="P56" s="121">
        <v>0.7</v>
      </c>
      <c r="Q56" s="115"/>
      <c r="R56" s="115"/>
      <c r="S56" s="118"/>
      <c r="T56" s="119"/>
    </row>
    <row r="57" spans="2:28" s="21" customFormat="1" ht="35.25" customHeight="1">
      <c r="C57" s="122"/>
      <c r="D57" s="122"/>
      <c r="E57" s="122"/>
      <c r="F57" s="122"/>
      <c r="G57" s="123"/>
      <c r="H57" s="124"/>
      <c r="I57" s="115"/>
      <c r="J57" s="118"/>
      <c r="K57" s="119"/>
      <c r="O57" s="125" t="s">
        <v>227</v>
      </c>
      <c r="Q57" s="115"/>
      <c r="R57" s="115"/>
      <c r="S57" s="118"/>
      <c r="T57" s="119"/>
    </row>
    <row r="58" spans="2:28" s="21" customFormat="1" ht="35.25" customHeight="1">
      <c r="B58" s="120" t="s">
        <v>202</v>
      </c>
      <c r="C58" s="121">
        <v>0.9</v>
      </c>
      <c r="D58" s="122"/>
      <c r="E58" s="122"/>
      <c r="F58" s="122"/>
      <c r="G58" s="123"/>
      <c r="H58" s="124"/>
      <c r="I58" s="115"/>
      <c r="J58" s="118"/>
      <c r="K58" s="119"/>
      <c r="Q58" s="115"/>
      <c r="R58" s="115"/>
      <c r="S58" s="118"/>
      <c r="T58" s="119"/>
    </row>
    <row r="59" spans="2:28" s="21" customFormat="1" ht="35.25" customHeight="1">
      <c r="B59" s="120" t="s">
        <v>203</v>
      </c>
      <c r="C59" s="121">
        <v>0.7</v>
      </c>
      <c r="D59" s="122"/>
      <c r="E59" s="122"/>
      <c r="F59" s="122"/>
      <c r="G59" s="123"/>
      <c r="H59" s="124"/>
      <c r="I59" s="115"/>
      <c r="J59" s="118"/>
      <c r="K59" s="119"/>
      <c r="Q59" s="115"/>
      <c r="R59" s="115"/>
      <c r="S59" s="118"/>
      <c r="T59" s="119"/>
    </row>
    <row r="60" spans="2:28" s="21" customFormat="1" ht="35.25" customHeight="1">
      <c r="B60" s="120" t="s">
        <v>201</v>
      </c>
      <c r="C60" s="121">
        <v>2</v>
      </c>
      <c r="D60" s="122"/>
      <c r="E60" s="122"/>
      <c r="F60" s="122"/>
      <c r="G60" s="123"/>
      <c r="H60" s="124"/>
      <c r="I60" s="115"/>
      <c r="J60" s="118"/>
      <c r="K60" s="119"/>
      <c r="Q60" s="115"/>
      <c r="R60" s="115"/>
      <c r="S60" s="118"/>
      <c r="T60" s="119"/>
    </row>
    <row r="61" spans="2:28" s="21" customFormat="1" ht="35.25" customHeight="1">
      <c r="B61" s="125" t="s">
        <v>227</v>
      </c>
      <c r="C61" s="122"/>
      <c r="D61" s="122"/>
      <c r="E61" s="122"/>
      <c r="F61" s="122"/>
      <c r="G61" s="123"/>
      <c r="H61" s="124"/>
      <c r="I61" s="115"/>
      <c r="J61" s="118"/>
      <c r="K61" s="119"/>
      <c r="Q61" s="115"/>
      <c r="R61" s="115"/>
      <c r="S61" s="118"/>
      <c r="T61" s="119"/>
    </row>
    <row r="62" spans="2:28" s="21" customFormat="1" ht="35.25" customHeight="1">
      <c r="C62" s="122"/>
      <c r="D62" s="122"/>
      <c r="E62" s="122"/>
      <c r="F62" s="122"/>
      <c r="G62" s="123"/>
      <c r="H62" s="124"/>
      <c r="I62" s="115"/>
      <c r="J62" s="118"/>
      <c r="K62" s="119"/>
      <c r="Q62" s="115"/>
      <c r="R62" s="115"/>
      <c r="S62" s="118"/>
      <c r="T62" s="119"/>
    </row>
    <row r="63" spans="2:28" s="21" customFormat="1" ht="35.25" customHeight="1">
      <c r="B63" s="102" t="s">
        <v>61</v>
      </c>
      <c r="C63" s="102"/>
      <c r="D63" s="102"/>
      <c r="E63" s="102"/>
      <c r="F63" s="102"/>
      <c r="G63" s="102"/>
      <c r="H63" s="124"/>
      <c r="I63" s="115"/>
      <c r="J63" s="118"/>
      <c r="K63" s="119"/>
      <c r="O63" s="102" t="s">
        <v>67</v>
      </c>
      <c r="P63" s="102"/>
      <c r="Q63" s="115"/>
      <c r="R63" s="115"/>
      <c r="S63" s="118"/>
      <c r="T63" s="119"/>
    </row>
    <row r="64" spans="2:28" s="21" customFormat="1" ht="35.25" customHeight="1">
      <c r="B64" s="102"/>
      <c r="C64" s="102"/>
      <c r="D64" s="102"/>
      <c r="E64" s="102"/>
      <c r="F64" s="102"/>
      <c r="G64" s="102"/>
      <c r="H64" s="124"/>
      <c r="I64" s="115"/>
      <c r="J64" s="118"/>
      <c r="K64" s="119"/>
      <c r="O64" s="102"/>
      <c r="P64" s="102"/>
      <c r="Q64" s="115"/>
      <c r="R64" s="115"/>
      <c r="S64" s="118"/>
      <c r="T64" s="118"/>
      <c r="U64" s="118"/>
      <c r="V64" s="118"/>
    </row>
    <row r="65" spans="2:22" s="21" customFormat="1" ht="35.25" customHeight="1">
      <c r="B65" s="126" t="s">
        <v>228</v>
      </c>
      <c r="C65" s="41"/>
      <c r="D65"/>
      <c r="E65"/>
      <c r="F65"/>
      <c r="G65"/>
      <c r="H65" s="124"/>
      <c r="I65" s="115"/>
      <c r="J65" s="118"/>
      <c r="K65" s="119"/>
      <c r="O65" s="126" t="s">
        <v>228</v>
      </c>
      <c r="P65" s="41"/>
      <c r="Q65"/>
      <c r="R65"/>
      <c r="S65"/>
      <c r="T65"/>
      <c r="U65"/>
      <c r="V65"/>
    </row>
    <row r="66" spans="2:22" s="21" customFormat="1" ht="35.25" customHeight="1">
      <c r="B66" s="125"/>
      <c r="C66" s="127"/>
      <c r="D66" s="128"/>
      <c r="E66" s="292" t="s">
        <v>62</v>
      </c>
      <c r="F66" s="293"/>
      <c r="G66" s="294"/>
      <c r="H66" s="124"/>
      <c r="I66" s="115"/>
      <c r="J66" s="118"/>
      <c r="K66" s="119"/>
      <c r="O66" s="125"/>
      <c r="P66" s="127"/>
      <c r="Q66" s="127"/>
      <c r="R66" s="129" t="s">
        <v>237</v>
      </c>
      <c r="S66" s="129" t="s">
        <v>237</v>
      </c>
      <c r="T66" s="129" t="s">
        <v>237</v>
      </c>
      <c r="U66" s="129" t="s">
        <v>237</v>
      </c>
      <c r="V66" s="129" t="s">
        <v>237</v>
      </c>
    </row>
    <row r="67" spans="2:22" s="21" customFormat="1" ht="35.25" customHeight="1">
      <c r="B67" s="130"/>
      <c r="C67" s="131"/>
      <c r="D67" s="132"/>
      <c r="E67" s="133" t="s">
        <v>63</v>
      </c>
      <c r="F67" s="134" t="s">
        <v>64</v>
      </c>
      <c r="G67" s="134" t="s">
        <v>65</v>
      </c>
      <c r="H67" s="124"/>
      <c r="I67" s="115"/>
      <c r="J67" s="118"/>
      <c r="K67" s="119"/>
      <c r="O67" s="15"/>
      <c r="P67" s="127"/>
      <c r="Q67" s="127"/>
      <c r="R67" s="135">
        <v>286</v>
      </c>
      <c r="S67" s="135">
        <v>270</v>
      </c>
      <c r="T67" s="135">
        <v>254</v>
      </c>
      <c r="U67" s="135">
        <v>238</v>
      </c>
      <c r="V67" s="135">
        <v>222</v>
      </c>
    </row>
    <row r="68" spans="2:22" s="21" customFormat="1" ht="35.25" customHeight="1">
      <c r="B68" s="289" t="s">
        <v>85</v>
      </c>
      <c r="C68" s="289"/>
      <c r="D68" s="289"/>
      <c r="E68" s="43"/>
      <c r="F68" s="43"/>
      <c r="G68" s="43"/>
      <c r="H68" s="124"/>
      <c r="I68" s="115"/>
      <c r="J68" s="118"/>
      <c r="K68" s="119"/>
      <c r="O68" s="290" t="s">
        <v>233</v>
      </c>
      <c r="P68" s="290"/>
      <c r="Q68" s="290"/>
      <c r="R68" s="43"/>
      <c r="S68" s="43"/>
      <c r="T68" s="43"/>
      <c r="U68" s="43"/>
      <c r="V68" s="43"/>
    </row>
    <row r="69" spans="2:22" s="21" customFormat="1" ht="35.25" customHeight="1">
      <c r="B69" s="290" t="s">
        <v>72</v>
      </c>
      <c r="C69" s="290"/>
      <c r="D69" s="290"/>
      <c r="E69" s="43"/>
      <c r="F69" s="43"/>
      <c r="G69" s="43"/>
      <c r="H69" s="124"/>
      <c r="I69" s="115"/>
      <c r="J69" s="118"/>
      <c r="K69" s="119"/>
      <c r="O69" s="290" t="s">
        <v>72</v>
      </c>
      <c r="P69" s="290"/>
      <c r="Q69" s="290"/>
      <c r="R69" s="43"/>
      <c r="S69" s="43"/>
      <c r="T69" s="43"/>
      <c r="U69" s="43"/>
      <c r="V69" s="43"/>
    </row>
    <row r="70" spans="2:22" s="21" customFormat="1" ht="35.25" customHeight="1">
      <c r="B70" s="290" t="s">
        <v>73</v>
      </c>
      <c r="C70" s="290"/>
      <c r="D70" s="290"/>
      <c r="E70" s="43"/>
      <c r="F70" s="43"/>
      <c r="G70" s="43"/>
      <c r="H70" s="124"/>
      <c r="I70" s="115"/>
      <c r="J70" s="118"/>
      <c r="K70" s="119"/>
      <c r="O70" s="290" t="s">
        <v>73</v>
      </c>
      <c r="P70" s="290"/>
      <c r="Q70" s="290"/>
      <c r="R70" s="43"/>
      <c r="S70" s="43"/>
      <c r="T70" s="43"/>
      <c r="U70" s="43"/>
      <c r="V70" s="43"/>
    </row>
    <row r="71" spans="2:22" s="21" customFormat="1" ht="35.25" customHeight="1">
      <c r="B71" s="102"/>
      <c r="C71" s="102"/>
      <c r="D71" s="102"/>
      <c r="E71" s="102"/>
      <c r="F71" s="102"/>
      <c r="G71" s="102"/>
      <c r="H71" s="124"/>
      <c r="I71" s="115"/>
      <c r="J71" s="118"/>
      <c r="K71" s="119"/>
      <c r="O71" s="102"/>
      <c r="P71" s="102"/>
      <c r="Q71" s="115"/>
      <c r="R71" s="115"/>
      <c r="S71" s="118"/>
      <c r="T71" s="119"/>
    </row>
    <row r="72" spans="2:22" s="21" customFormat="1" ht="40.5" customHeight="1">
      <c r="B72" s="136"/>
      <c r="C72" s="137"/>
      <c r="D72" s="137"/>
      <c r="E72" s="137"/>
      <c r="F72" s="137"/>
      <c r="G72" s="136"/>
      <c r="H72" s="136"/>
      <c r="I72" s="138"/>
      <c r="J72" s="138"/>
      <c r="K72" s="138"/>
      <c r="O72" s="136"/>
      <c r="P72" s="136"/>
      <c r="Q72" s="136"/>
      <c r="R72" s="138"/>
      <c r="S72" s="138"/>
      <c r="T72" s="138"/>
    </row>
    <row r="73" spans="2:22" ht="15.6">
      <c r="B73" s="6"/>
      <c r="C73" s="40"/>
      <c r="D73" s="40"/>
      <c r="E73" s="40"/>
      <c r="F73" s="40"/>
      <c r="L73" s="21"/>
      <c r="O73" s="136"/>
      <c r="P73" s="136"/>
      <c r="Q73" s="136"/>
      <c r="R73" s="138"/>
    </row>
    <row r="74" spans="2:22" s="26" customFormat="1" ht="21">
      <c r="B74" s="77" t="s">
        <v>89</v>
      </c>
      <c r="C74" s="78"/>
      <c r="D74" s="78"/>
      <c r="E74" s="78"/>
      <c r="F74" s="78"/>
      <c r="G74" s="77"/>
      <c r="H74" s="77"/>
      <c r="I74" s="77"/>
      <c r="L74" s="90"/>
      <c r="O74" s="136"/>
      <c r="P74" s="136"/>
      <c r="Q74" s="136"/>
      <c r="R74" s="138"/>
    </row>
    <row r="75" spans="2:22" ht="15.6">
      <c r="B75" s="6"/>
      <c r="C75" s="40"/>
      <c r="D75" s="40"/>
      <c r="E75" s="40"/>
      <c r="F75" s="40"/>
      <c r="L75" s="21"/>
      <c r="O75" s="136"/>
      <c r="P75" s="136"/>
      <c r="Q75" s="136"/>
      <c r="R75" s="138"/>
    </row>
    <row r="76" spans="2:22" s="26" customFormat="1" ht="18">
      <c r="B76" s="99"/>
      <c r="C76" s="101"/>
      <c r="D76" s="101"/>
      <c r="E76" s="101"/>
      <c r="F76" s="101"/>
      <c r="G76" s="139" t="str">
        <f t="shared" ref="G76:I76" si="4">+G7</f>
        <v xml:space="preserve"> Montant Part en MAD</v>
      </c>
      <c r="H76" s="139" t="str">
        <f t="shared" si="4"/>
        <v>Montant Part en Euro</v>
      </c>
      <c r="I76" s="139" t="str">
        <f t="shared" si="4"/>
        <v>Montant Part en USD</v>
      </c>
      <c r="L76" s="90"/>
      <c r="O76" s="136"/>
      <c r="P76" s="136"/>
      <c r="Q76" s="136"/>
      <c r="R76" s="138"/>
    </row>
    <row r="77" spans="2:22" s="26" customFormat="1" ht="30">
      <c r="B77" s="140" t="s">
        <v>241</v>
      </c>
      <c r="C77" s="141"/>
      <c r="D77" s="141"/>
      <c r="E77" s="141"/>
      <c r="F77" s="141"/>
      <c r="G77" s="286">
        <f>G8</f>
        <v>0</v>
      </c>
      <c r="H77" s="286">
        <f>H8</f>
        <v>0</v>
      </c>
      <c r="I77" s="286">
        <f t="shared" ref="I77" si="5">I8</f>
        <v>0</v>
      </c>
      <c r="L77" s="90"/>
      <c r="O77" s="136"/>
      <c r="P77" s="136"/>
      <c r="Q77" s="136"/>
      <c r="R77" s="138"/>
    </row>
    <row r="78" spans="2:22" s="26" customFormat="1" ht="30">
      <c r="B78" s="140" t="s">
        <v>242</v>
      </c>
      <c r="C78" s="141"/>
      <c r="D78" s="141"/>
      <c r="E78" s="141"/>
      <c r="F78" s="141"/>
      <c r="G78" s="56">
        <f>G77+H77*N7+I77*N8</f>
        <v>0</v>
      </c>
      <c r="O78" s="136"/>
      <c r="P78" s="136"/>
      <c r="Q78" s="136"/>
      <c r="R78" s="138"/>
    </row>
    <row r="79" spans="2:22" s="26" customFormat="1" ht="30">
      <c r="B79" s="140" t="s">
        <v>240</v>
      </c>
      <c r="C79" s="141"/>
      <c r="D79" s="141"/>
      <c r="E79" s="141"/>
      <c r="F79" s="141"/>
      <c r="G79" s="57">
        <f>0.2*G78*POWER(1+R9,3)+0.4*G78*POWER(1+R9,2)+0.3*G78*POWER(1+R9,1)+0.1*G78</f>
        <v>0</v>
      </c>
      <c r="H79" s="26" t="s">
        <v>17</v>
      </c>
      <c r="O79" s="136"/>
      <c r="P79" s="136"/>
      <c r="Q79" s="136"/>
      <c r="R79" s="138"/>
    </row>
    <row r="80" spans="2:22" s="26" customFormat="1" ht="41.25" customHeight="1"/>
    <row r="81" spans="2:15" s="26" customFormat="1" ht="18">
      <c r="C81" s="39"/>
      <c r="D81" s="39"/>
      <c r="E81" s="39"/>
      <c r="F81" s="39"/>
    </row>
    <row r="82" spans="2:15">
      <c r="B82" s="6"/>
      <c r="C82" s="40"/>
      <c r="D82" s="40"/>
      <c r="E82" s="40"/>
      <c r="F82" s="40"/>
    </row>
    <row r="83" spans="2:15">
      <c r="B83" s="6"/>
      <c r="C83" s="40"/>
      <c r="D83" s="40"/>
      <c r="E83" s="40"/>
      <c r="F83" s="40"/>
    </row>
    <row r="84" spans="2:15">
      <c r="B84" s="6"/>
      <c r="C84" s="40"/>
      <c r="D84" s="40"/>
      <c r="E84" s="40"/>
      <c r="F84" s="40"/>
    </row>
    <row r="85" spans="2:15">
      <c r="B85" s="6"/>
      <c r="C85" s="40"/>
      <c r="D85" s="40"/>
      <c r="E85" s="40"/>
      <c r="F85" s="40"/>
    </row>
    <row r="87" spans="2:15">
      <c r="M87" s="12"/>
      <c r="N87" s="13"/>
      <c r="O87" s="11"/>
    </row>
    <row r="88" spans="2:15">
      <c r="M88" s="12"/>
      <c r="N88" s="13"/>
      <c r="O88" s="11"/>
    </row>
    <row r="89" spans="2:15" ht="19.5" customHeight="1"/>
    <row r="93" spans="2:15">
      <c r="B93" s="6"/>
      <c r="C93" s="40"/>
      <c r="D93" s="40"/>
      <c r="E93" s="40"/>
      <c r="F93" s="40"/>
    </row>
    <row r="94" spans="2:15">
      <c r="B94" s="6"/>
      <c r="C94" s="40"/>
      <c r="D94" s="40"/>
      <c r="E94" s="40"/>
      <c r="F94" s="40"/>
    </row>
    <row r="95" spans="2:15">
      <c r="B95" s="6"/>
      <c r="C95" s="40"/>
      <c r="D95" s="40"/>
      <c r="E95" s="40"/>
      <c r="F95" s="40"/>
    </row>
    <row r="96" spans="2:15">
      <c r="B96" s="6"/>
      <c r="C96" s="40"/>
      <c r="D96" s="40"/>
      <c r="E96" s="40"/>
      <c r="F96" s="40"/>
    </row>
    <row r="97" spans="2:6">
      <c r="B97" s="6"/>
      <c r="C97" s="40"/>
      <c r="D97" s="40"/>
      <c r="E97" s="40"/>
      <c r="F97" s="40"/>
    </row>
    <row r="98" spans="2:6">
      <c r="B98" s="6"/>
      <c r="C98" s="40"/>
      <c r="D98" s="40"/>
      <c r="E98" s="40"/>
      <c r="F98" s="40"/>
    </row>
    <row r="99" spans="2:6">
      <c r="B99" s="6"/>
      <c r="C99" s="40"/>
      <c r="D99" s="40"/>
      <c r="E99" s="40"/>
      <c r="F99" s="40"/>
    </row>
  </sheetData>
  <sheetProtection algorithmName="SHA-512" hashValue="s4VOVo5LVF7FuiY/O5uhOk5lFC/+Sp7MY1Kwqm8Uioq15M08cDYYkL6iXIvE1JXHiDseXW/1dwuZWW9ds+XHIA==" saltValue="eNDZHEMhNyh4XejUdtsWZA==" spinCount="100000" sheet="1" formatColumns="0" formatRows="0"/>
  <mergeCells count="68">
    <mergeCell ref="B1:R1"/>
    <mergeCell ref="B2:R2"/>
    <mergeCell ref="B3:R3"/>
    <mergeCell ref="B17:B18"/>
    <mergeCell ref="L6:N6"/>
    <mergeCell ref="L7:M7"/>
    <mergeCell ref="L8:M8"/>
    <mergeCell ref="P7:Q7"/>
    <mergeCell ref="P8:Q8"/>
    <mergeCell ref="P6:R6"/>
    <mergeCell ref="B11:R11"/>
    <mergeCell ref="G4:R4"/>
    <mergeCell ref="B7:F8"/>
    <mergeCell ref="B4:F4"/>
    <mergeCell ref="P9:Q9"/>
    <mergeCell ref="B55:F55"/>
    <mergeCell ref="B56:F56"/>
    <mergeCell ref="O17:O18"/>
    <mergeCell ref="G23:L23"/>
    <mergeCell ref="B21:L21"/>
    <mergeCell ref="O21:T21"/>
    <mergeCell ref="B50:F50"/>
    <mergeCell ref="B51:F51"/>
    <mergeCell ref="B52:F52"/>
    <mergeCell ref="B53:F53"/>
    <mergeCell ref="B54:F54"/>
    <mergeCell ref="B45:F45"/>
    <mergeCell ref="B46:F46"/>
    <mergeCell ref="B47:F47"/>
    <mergeCell ref="B48:F48"/>
    <mergeCell ref="B49:F49"/>
    <mergeCell ref="G45:H45"/>
    <mergeCell ref="G46:H46"/>
    <mergeCell ref="G47:H47"/>
    <mergeCell ref="G48:H48"/>
    <mergeCell ref="G49:H49"/>
    <mergeCell ref="O45:Q45"/>
    <mergeCell ref="O46:Q46"/>
    <mergeCell ref="O47:Q47"/>
    <mergeCell ref="O48:Q48"/>
    <mergeCell ref="O49:Q49"/>
    <mergeCell ref="R45:S45"/>
    <mergeCell ref="R46:S46"/>
    <mergeCell ref="R47:S47"/>
    <mergeCell ref="R48:S48"/>
    <mergeCell ref="R49:S49"/>
    <mergeCell ref="R50:S50"/>
    <mergeCell ref="R51:S51"/>
    <mergeCell ref="R52:S52"/>
    <mergeCell ref="R53:S53"/>
    <mergeCell ref="E66:G66"/>
    <mergeCell ref="G55:H55"/>
    <mergeCell ref="G56:H56"/>
    <mergeCell ref="O50:Q50"/>
    <mergeCell ref="O51:Q51"/>
    <mergeCell ref="O52:Q52"/>
    <mergeCell ref="O53:Q53"/>
    <mergeCell ref="G50:H50"/>
    <mergeCell ref="G51:H51"/>
    <mergeCell ref="G52:H52"/>
    <mergeCell ref="G53:H53"/>
    <mergeCell ref="G54:H54"/>
    <mergeCell ref="B68:D68"/>
    <mergeCell ref="B69:D69"/>
    <mergeCell ref="B70:D70"/>
    <mergeCell ref="O68:Q68"/>
    <mergeCell ref="O69:Q69"/>
    <mergeCell ref="O70:Q70"/>
  </mergeCells>
  <pageMargins left="0.7" right="0.7" top="0.75" bottom="0.75" header="0.3" footer="0.3"/>
  <pageSetup paperSize="9" scale="18" orientation="portrait" r:id="rId1"/>
  <ignoredErrors>
    <ignoredError sqref="G77 I77"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B1:O57"/>
  <sheetViews>
    <sheetView zoomScale="70" zoomScaleNormal="70" workbookViewId="0">
      <selection activeCell="G13" sqref="G13"/>
    </sheetView>
  </sheetViews>
  <sheetFormatPr baseColWidth="10" defaultColWidth="11.44140625" defaultRowHeight="13.2"/>
  <cols>
    <col min="1" max="1" width="11.44140625" style="1"/>
    <col min="2" max="2" width="14.109375" style="1" customWidth="1"/>
    <col min="3" max="3" width="23.6640625" style="1" customWidth="1"/>
    <col min="4" max="4" width="16.6640625" style="1" customWidth="1"/>
    <col min="5" max="5" width="21.6640625" style="1" customWidth="1"/>
    <col min="6" max="6" width="25" style="1" customWidth="1"/>
    <col min="7" max="7" width="23.44140625" style="2" customWidth="1"/>
    <col min="8" max="8" width="29" style="1" customWidth="1"/>
    <col min="9" max="11" width="23.88671875" style="54" customWidth="1"/>
    <col min="12" max="12" width="23.109375" style="55" customWidth="1"/>
    <col min="13" max="13" width="19.6640625" style="54" customWidth="1"/>
    <col min="14" max="14" width="17.5546875" style="1" bestFit="1" customWidth="1"/>
    <col min="15" max="16384" width="11.44140625" style="1"/>
  </cols>
  <sheetData>
    <row r="1" spans="2:15" ht="28.8">
      <c r="B1" s="330" t="s">
        <v>245</v>
      </c>
      <c r="C1" s="330"/>
      <c r="D1" s="330"/>
      <c r="E1" s="330"/>
      <c r="F1" s="330"/>
      <c r="G1" s="330"/>
      <c r="H1" s="330"/>
      <c r="I1" s="330"/>
      <c r="J1" s="330"/>
      <c r="K1" s="330"/>
      <c r="L1" s="330"/>
      <c r="M1" s="330"/>
      <c r="N1" s="157"/>
      <c r="O1" s="157"/>
    </row>
    <row r="2" spans="2:15" ht="28.8">
      <c r="B2" s="330" t="str">
        <f>+Inputs!B2</f>
        <v>AO N° SP4130189</v>
      </c>
      <c r="C2" s="330"/>
      <c r="D2" s="330"/>
      <c r="E2" s="330"/>
      <c r="F2" s="330"/>
      <c r="G2" s="330"/>
      <c r="H2" s="330"/>
      <c r="I2" s="330"/>
      <c r="J2" s="330"/>
      <c r="K2" s="330"/>
      <c r="L2" s="330"/>
      <c r="M2" s="330"/>
      <c r="N2" s="157"/>
      <c r="O2" s="157"/>
    </row>
    <row r="3" spans="2:15" ht="28.8">
      <c r="B3" s="331" t="s">
        <v>87</v>
      </c>
      <c r="C3" s="331"/>
      <c r="D3" s="331"/>
      <c r="E3" s="331"/>
      <c r="F3" s="331"/>
      <c r="G3" s="331"/>
      <c r="H3" s="331"/>
      <c r="I3" s="331"/>
      <c r="J3" s="331"/>
      <c r="K3" s="331"/>
      <c r="L3" s="331"/>
      <c r="M3" s="331"/>
      <c r="N3" s="157"/>
      <c r="O3" s="157"/>
    </row>
    <row r="4" spans="2:15" ht="22.8">
      <c r="B4" s="328" t="str">
        <f>+Inputs!B4</f>
        <v>Soumissionnaire :</v>
      </c>
      <c r="C4" s="329"/>
      <c r="D4" s="332">
        <f>+Inputs!G4</f>
        <v>0</v>
      </c>
      <c r="E4" s="333"/>
      <c r="F4" s="333"/>
      <c r="G4" s="333"/>
      <c r="H4" s="333"/>
      <c r="I4" s="333"/>
      <c r="J4" s="333"/>
      <c r="K4" s="333"/>
      <c r="L4" s="333"/>
      <c r="M4" s="333"/>
    </row>
    <row r="5" spans="2:15" ht="15" customHeight="1">
      <c r="D5" s="326"/>
      <c r="E5" s="327"/>
      <c r="F5" s="327"/>
      <c r="G5" s="327"/>
    </row>
    <row r="6" spans="2:15">
      <c r="D6" s="158"/>
      <c r="G6" s="159"/>
      <c r="H6" s="158"/>
    </row>
    <row r="7" spans="2:15" ht="63.75" customHeight="1">
      <c r="C7" s="160" t="s">
        <v>5</v>
      </c>
      <c r="D7" s="161" t="s">
        <v>93</v>
      </c>
      <c r="E7" s="162" t="s">
        <v>92</v>
      </c>
      <c r="F7" s="163" t="s">
        <v>253</v>
      </c>
      <c r="G7" s="164" t="s">
        <v>91</v>
      </c>
      <c r="H7" s="164" t="s">
        <v>9</v>
      </c>
      <c r="I7" s="161" t="s">
        <v>10</v>
      </c>
      <c r="J7" s="162" t="s">
        <v>11</v>
      </c>
      <c r="K7" s="163" t="s">
        <v>251</v>
      </c>
      <c r="L7" s="165" t="s">
        <v>6</v>
      </c>
      <c r="M7" s="162" t="s">
        <v>75</v>
      </c>
      <c r="N7" s="166"/>
    </row>
    <row r="8" spans="2:15" s="3" customFormat="1" ht="22.5" customHeight="1">
      <c r="B8" s="3" t="s">
        <v>3</v>
      </c>
      <c r="C8" s="167" t="s">
        <v>2</v>
      </c>
      <c r="D8" s="164" t="s">
        <v>7</v>
      </c>
      <c r="E8" s="168" t="s">
        <v>7</v>
      </c>
      <c r="F8" s="163" t="s">
        <v>8</v>
      </c>
      <c r="G8" s="169" t="s">
        <v>8</v>
      </c>
      <c r="H8" s="169" t="s">
        <v>8</v>
      </c>
      <c r="I8" s="162" t="s">
        <v>8</v>
      </c>
      <c r="J8" s="164" t="s">
        <v>8</v>
      </c>
      <c r="K8" s="163" t="s">
        <v>252</v>
      </c>
      <c r="L8" s="164"/>
      <c r="M8" s="170" t="s">
        <v>0</v>
      </c>
    </row>
    <row r="9" spans="2:15" ht="15.6">
      <c r="B9" s="164">
        <v>1</v>
      </c>
      <c r="C9" s="171">
        <f>POWER(1+Inputs!$R$7,B9)</f>
        <v>1.0571999999999999</v>
      </c>
      <c r="D9" s="29" t="e">
        <f>+'Calcul Wp et Wt'!C24</f>
        <v>#DIV/0!</v>
      </c>
      <c r="E9" s="46" t="e">
        <f>+'Calcul Wp et Wt'!C46</f>
        <v>#DIV/0!</v>
      </c>
      <c r="F9" s="48">
        <f>+-PMT(Inputs!$R$9,40,Inputs!$G$79)</f>
        <v>0</v>
      </c>
      <c r="G9" s="47">
        <f>Inputs!$G$79*0.015</f>
        <v>0</v>
      </c>
      <c r="H9" s="29" t="e">
        <f>+E9*Inputs!$R$8</f>
        <v>#DIV/0!</v>
      </c>
      <c r="I9" s="30">
        <f t="shared" ref="I9:I48" si="0">+G9/C9</f>
        <v>0</v>
      </c>
      <c r="J9" s="49" t="e">
        <f t="shared" ref="J9:J48" si="1">+H9/C9</f>
        <v>#DIV/0!</v>
      </c>
      <c r="K9" s="52">
        <f>F9/C9</f>
        <v>0</v>
      </c>
      <c r="L9" s="48" t="e">
        <f>I9+J9+K9</f>
        <v>#DIV/0!</v>
      </c>
      <c r="M9" s="53" t="e">
        <f t="shared" ref="M9:M38" si="2">D9/C9</f>
        <v>#DIV/0!</v>
      </c>
      <c r="O9" s="172"/>
    </row>
    <row r="10" spans="2:15" ht="15.6">
      <c r="B10" s="164">
        <f>1+B9</f>
        <v>2</v>
      </c>
      <c r="C10" s="171">
        <f>POWER(1+Inputs!$R$7,B10)</f>
        <v>1.1176718399999999</v>
      </c>
      <c r="D10" s="27" t="e">
        <f>+D9</f>
        <v>#DIV/0!</v>
      </c>
      <c r="E10" s="27" t="e">
        <f>+E9</f>
        <v>#DIV/0!</v>
      </c>
      <c r="F10" s="48">
        <f>+-PMT(Inputs!$R$9,40,Inputs!$G$79)</f>
        <v>0</v>
      </c>
      <c r="G10" s="27">
        <f>Inputs!$G$79*0.015</f>
        <v>0</v>
      </c>
      <c r="H10" s="27" t="e">
        <f>+E10*Inputs!$R$8</f>
        <v>#DIV/0!</v>
      </c>
      <c r="I10" s="27">
        <f t="shared" si="0"/>
        <v>0</v>
      </c>
      <c r="J10" s="27" t="e">
        <f t="shared" si="1"/>
        <v>#DIV/0!</v>
      </c>
      <c r="K10" s="48">
        <f t="shared" ref="K10:K48" si="3">F10/C10</f>
        <v>0</v>
      </c>
      <c r="L10" s="48" t="e">
        <f t="shared" ref="L10:L48" si="4">I10+J10+K10</f>
        <v>#DIV/0!</v>
      </c>
      <c r="M10" s="28" t="e">
        <f t="shared" si="2"/>
        <v>#DIV/0!</v>
      </c>
      <c r="O10" s="172"/>
    </row>
    <row r="11" spans="2:15" ht="15.6">
      <c r="B11" s="164">
        <f t="shared" ref="B11:B29" si="5">1+B10</f>
        <v>3</v>
      </c>
      <c r="C11" s="171">
        <f>POWER(1+Inputs!$R$7,B11)</f>
        <v>1.1816026692479997</v>
      </c>
      <c r="D11" s="27" t="e">
        <f>+D10</f>
        <v>#DIV/0!</v>
      </c>
      <c r="E11" s="27" t="e">
        <f>+E10</f>
        <v>#DIV/0!</v>
      </c>
      <c r="F11" s="48">
        <f>+-PMT(Inputs!$R$9,40,Inputs!$G$79)</f>
        <v>0</v>
      </c>
      <c r="G11" s="27">
        <f>Inputs!$G$79*0.015</f>
        <v>0</v>
      </c>
      <c r="H11" s="27" t="e">
        <f>+E11*Inputs!$R$8</f>
        <v>#DIV/0!</v>
      </c>
      <c r="I11" s="27">
        <f t="shared" si="0"/>
        <v>0</v>
      </c>
      <c r="J11" s="27" t="e">
        <f t="shared" si="1"/>
        <v>#DIV/0!</v>
      </c>
      <c r="K11" s="48">
        <f t="shared" si="3"/>
        <v>0</v>
      </c>
      <c r="L11" s="48" t="e">
        <f t="shared" si="4"/>
        <v>#DIV/0!</v>
      </c>
      <c r="M11" s="28" t="e">
        <f t="shared" si="2"/>
        <v>#DIV/0!</v>
      </c>
      <c r="O11" s="172"/>
    </row>
    <row r="12" spans="2:15" ht="15.6">
      <c r="B12" s="164">
        <f t="shared" si="5"/>
        <v>4</v>
      </c>
      <c r="C12" s="171">
        <f>POWER(1+Inputs!$R$7,B12)</f>
        <v>1.2491903419289854</v>
      </c>
      <c r="D12" s="27" t="e">
        <f t="shared" ref="D12:D27" si="6">+D11</f>
        <v>#DIV/0!</v>
      </c>
      <c r="E12" s="27" t="e">
        <f t="shared" ref="E12:E29" si="7">+E11</f>
        <v>#DIV/0!</v>
      </c>
      <c r="F12" s="48">
        <f>+-PMT(Inputs!$R$9,40,Inputs!$G$79)</f>
        <v>0</v>
      </c>
      <c r="G12" s="27">
        <f>Inputs!$G$79*0.015</f>
        <v>0</v>
      </c>
      <c r="H12" s="27" t="e">
        <f>+E12*Inputs!$R$8</f>
        <v>#DIV/0!</v>
      </c>
      <c r="I12" s="27">
        <f t="shared" si="0"/>
        <v>0</v>
      </c>
      <c r="J12" s="27" t="e">
        <f t="shared" si="1"/>
        <v>#DIV/0!</v>
      </c>
      <c r="K12" s="48">
        <f t="shared" si="3"/>
        <v>0</v>
      </c>
      <c r="L12" s="48" t="e">
        <f t="shared" si="4"/>
        <v>#DIV/0!</v>
      </c>
      <c r="M12" s="28" t="e">
        <f t="shared" si="2"/>
        <v>#DIV/0!</v>
      </c>
      <c r="O12" s="172"/>
    </row>
    <row r="13" spans="2:15" ht="15.6">
      <c r="B13" s="164">
        <f t="shared" si="5"/>
        <v>5</v>
      </c>
      <c r="C13" s="171">
        <f>POWER(1+Inputs!$R$7,B13)</f>
        <v>1.3206440294873232</v>
      </c>
      <c r="D13" s="27" t="e">
        <f t="shared" si="6"/>
        <v>#DIV/0!</v>
      </c>
      <c r="E13" s="27" t="e">
        <f t="shared" si="7"/>
        <v>#DIV/0!</v>
      </c>
      <c r="F13" s="48">
        <f>+-PMT(Inputs!$R$9,40,Inputs!$G$79)</f>
        <v>0</v>
      </c>
      <c r="G13" s="27">
        <f>Inputs!$G$79*0.015</f>
        <v>0</v>
      </c>
      <c r="H13" s="27" t="e">
        <f>+E13*Inputs!$R$8</f>
        <v>#DIV/0!</v>
      </c>
      <c r="I13" s="27">
        <f t="shared" si="0"/>
        <v>0</v>
      </c>
      <c r="J13" s="27" t="e">
        <f t="shared" si="1"/>
        <v>#DIV/0!</v>
      </c>
      <c r="K13" s="48">
        <f t="shared" si="3"/>
        <v>0</v>
      </c>
      <c r="L13" s="48" t="e">
        <f t="shared" si="4"/>
        <v>#DIV/0!</v>
      </c>
      <c r="M13" s="28" t="e">
        <f t="shared" si="2"/>
        <v>#DIV/0!</v>
      </c>
      <c r="O13" s="172"/>
    </row>
    <row r="14" spans="2:15" ht="15.6">
      <c r="B14" s="164">
        <f t="shared" si="5"/>
        <v>6</v>
      </c>
      <c r="C14" s="171">
        <f>POWER(1+Inputs!$R$7,B14)</f>
        <v>1.3961848679739981</v>
      </c>
      <c r="D14" s="27" t="e">
        <f t="shared" si="6"/>
        <v>#DIV/0!</v>
      </c>
      <c r="E14" s="27" t="e">
        <f t="shared" si="7"/>
        <v>#DIV/0!</v>
      </c>
      <c r="F14" s="48">
        <f>+-PMT(Inputs!$R$9,40,Inputs!$G$79)</f>
        <v>0</v>
      </c>
      <c r="G14" s="27">
        <f>Inputs!$G$79*0.015</f>
        <v>0</v>
      </c>
      <c r="H14" s="27" t="e">
        <f>+E14*Inputs!$R$8</f>
        <v>#DIV/0!</v>
      </c>
      <c r="I14" s="27">
        <f t="shared" si="0"/>
        <v>0</v>
      </c>
      <c r="J14" s="27" t="e">
        <f t="shared" si="1"/>
        <v>#DIV/0!</v>
      </c>
      <c r="K14" s="48">
        <f t="shared" si="3"/>
        <v>0</v>
      </c>
      <c r="L14" s="48" t="e">
        <f t="shared" si="4"/>
        <v>#DIV/0!</v>
      </c>
      <c r="M14" s="28" t="e">
        <f t="shared" si="2"/>
        <v>#DIV/0!</v>
      </c>
      <c r="O14" s="172"/>
    </row>
    <row r="15" spans="2:15" ht="15.6">
      <c r="B15" s="164">
        <f t="shared" si="5"/>
        <v>7</v>
      </c>
      <c r="C15" s="171">
        <f>POWER(1+Inputs!$R$7,B15)</f>
        <v>1.4760466424221106</v>
      </c>
      <c r="D15" s="27" t="e">
        <f t="shared" si="6"/>
        <v>#DIV/0!</v>
      </c>
      <c r="E15" s="27" t="e">
        <f t="shared" si="7"/>
        <v>#DIV/0!</v>
      </c>
      <c r="F15" s="48">
        <f>+-PMT(Inputs!$R$9,40,Inputs!$G$79)</f>
        <v>0</v>
      </c>
      <c r="G15" s="27">
        <f>Inputs!$G$79*0.015</f>
        <v>0</v>
      </c>
      <c r="H15" s="27" t="e">
        <f>+E15*Inputs!$R$8</f>
        <v>#DIV/0!</v>
      </c>
      <c r="I15" s="27">
        <f t="shared" si="0"/>
        <v>0</v>
      </c>
      <c r="J15" s="27" t="e">
        <f t="shared" si="1"/>
        <v>#DIV/0!</v>
      </c>
      <c r="K15" s="48">
        <f t="shared" si="3"/>
        <v>0</v>
      </c>
      <c r="L15" s="48" t="e">
        <f t="shared" si="4"/>
        <v>#DIV/0!</v>
      </c>
      <c r="M15" s="28" t="e">
        <f t="shared" si="2"/>
        <v>#DIV/0!</v>
      </c>
      <c r="O15" s="172"/>
    </row>
    <row r="16" spans="2:15" ht="15.6">
      <c r="B16" s="164">
        <f t="shared" si="5"/>
        <v>8</v>
      </c>
      <c r="C16" s="171">
        <f>POWER(1+Inputs!$R$7,B16)</f>
        <v>1.5604765103686553</v>
      </c>
      <c r="D16" s="27" t="e">
        <f t="shared" si="6"/>
        <v>#DIV/0!</v>
      </c>
      <c r="E16" s="27" t="e">
        <f t="shared" si="7"/>
        <v>#DIV/0!</v>
      </c>
      <c r="F16" s="48">
        <f>+-PMT(Inputs!$R$9,40,Inputs!$G$79)</f>
        <v>0</v>
      </c>
      <c r="G16" s="27">
        <f>Inputs!$G$79*0.015</f>
        <v>0</v>
      </c>
      <c r="H16" s="27" t="e">
        <f>+E16*Inputs!$R$8</f>
        <v>#DIV/0!</v>
      </c>
      <c r="I16" s="27">
        <f t="shared" si="0"/>
        <v>0</v>
      </c>
      <c r="J16" s="27" t="e">
        <f t="shared" si="1"/>
        <v>#DIV/0!</v>
      </c>
      <c r="K16" s="48">
        <f t="shared" si="3"/>
        <v>0</v>
      </c>
      <c r="L16" s="48" t="e">
        <f t="shared" si="4"/>
        <v>#DIV/0!</v>
      </c>
      <c r="M16" s="28" t="e">
        <f t="shared" si="2"/>
        <v>#DIV/0!</v>
      </c>
      <c r="O16" s="172"/>
    </row>
    <row r="17" spans="2:15" ht="15.6">
      <c r="B17" s="164">
        <f t="shared" si="5"/>
        <v>9</v>
      </c>
      <c r="C17" s="171">
        <f>POWER(1+Inputs!$R$7,B17)</f>
        <v>1.6497357667617423</v>
      </c>
      <c r="D17" s="27" t="e">
        <f t="shared" si="6"/>
        <v>#DIV/0!</v>
      </c>
      <c r="E17" s="27" t="e">
        <f t="shared" si="7"/>
        <v>#DIV/0!</v>
      </c>
      <c r="F17" s="48">
        <f>+-PMT(Inputs!$R$9,40,Inputs!$G$79)</f>
        <v>0</v>
      </c>
      <c r="G17" s="27">
        <f>Inputs!$G$79*0.015</f>
        <v>0</v>
      </c>
      <c r="H17" s="27" t="e">
        <f>+E17*Inputs!$R$8</f>
        <v>#DIV/0!</v>
      </c>
      <c r="I17" s="27">
        <f t="shared" si="0"/>
        <v>0</v>
      </c>
      <c r="J17" s="27" t="e">
        <f t="shared" si="1"/>
        <v>#DIV/0!</v>
      </c>
      <c r="K17" s="48">
        <f t="shared" si="3"/>
        <v>0</v>
      </c>
      <c r="L17" s="48" t="e">
        <f t="shared" si="4"/>
        <v>#DIV/0!</v>
      </c>
      <c r="M17" s="28" t="e">
        <f t="shared" si="2"/>
        <v>#DIV/0!</v>
      </c>
      <c r="O17" s="172"/>
    </row>
    <row r="18" spans="2:15" ht="15.6">
      <c r="B18" s="164">
        <f t="shared" si="5"/>
        <v>10</v>
      </c>
      <c r="C18" s="171">
        <f>POWER(1+Inputs!$R$7,B18)</f>
        <v>1.7441006526205138</v>
      </c>
      <c r="D18" s="27" t="e">
        <f t="shared" si="6"/>
        <v>#DIV/0!</v>
      </c>
      <c r="E18" s="27" t="e">
        <f t="shared" si="7"/>
        <v>#DIV/0!</v>
      </c>
      <c r="F18" s="48">
        <f>+-PMT(Inputs!$R$9,40,Inputs!$G$79)</f>
        <v>0</v>
      </c>
      <c r="G18" s="27">
        <f>Inputs!$G$79*0.015</f>
        <v>0</v>
      </c>
      <c r="H18" s="27" t="e">
        <f>+E18*Inputs!$R$8</f>
        <v>#DIV/0!</v>
      </c>
      <c r="I18" s="27">
        <f t="shared" si="0"/>
        <v>0</v>
      </c>
      <c r="J18" s="27" t="e">
        <f t="shared" si="1"/>
        <v>#DIV/0!</v>
      </c>
      <c r="K18" s="48">
        <f t="shared" si="3"/>
        <v>0</v>
      </c>
      <c r="L18" s="48" t="e">
        <f t="shared" si="4"/>
        <v>#DIV/0!</v>
      </c>
      <c r="M18" s="28" t="e">
        <f t="shared" si="2"/>
        <v>#DIV/0!</v>
      </c>
      <c r="O18" s="172"/>
    </row>
    <row r="19" spans="2:15" ht="15.6">
      <c r="B19" s="164">
        <f t="shared" si="5"/>
        <v>11</v>
      </c>
      <c r="C19" s="171">
        <f>POWER(1+Inputs!$R$7,B19)</f>
        <v>1.8438632099504071</v>
      </c>
      <c r="D19" s="27" t="e">
        <f t="shared" si="6"/>
        <v>#DIV/0!</v>
      </c>
      <c r="E19" s="27" t="e">
        <f t="shared" si="7"/>
        <v>#DIV/0!</v>
      </c>
      <c r="F19" s="48">
        <f>+-PMT(Inputs!$R$9,40,Inputs!$G$79)</f>
        <v>0</v>
      </c>
      <c r="G19" s="27">
        <f>Inputs!$G$79*0.015</f>
        <v>0</v>
      </c>
      <c r="H19" s="27" t="e">
        <f>+E19*Inputs!$R$8</f>
        <v>#DIV/0!</v>
      </c>
      <c r="I19" s="27">
        <f t="shared" si="0"/>
        <v>0</v>
      </c>
      <c r="J19" s="27" t="e">
        <f t="shared" si="1"/>
        <v>#DIV/0!</v>
      </c>
      <c r="K19" s="48">
        <f t="shared" si="3"/>
        <v>0</v>
      </c>
      <c r="L19" s="48" t="e">
        <f t="shared" si="4"/>
        <v>#DIV/0!</v>
      </c>
      <c r="M19" s="28" t="e">
        <f t="shared" si="2"/>
        <v>#DIV/0!</v>
      </c>
      <c r="O19" s="172"/>
    </row>
    <row r="20" spans="2:15" ht="15.6">
      <c r="B20" s="164">
        <f t="shared" si="5"/>
        <v>12</v>
      </c>
      <c r="C20" s="171">
        <f>POWER(1+Inputs!$R$7,B20)</f>
        <v>1.9493321855595704</v>
      </c>
      <c r="D20" s="27" t="e">
        <f t="shared" si="6"/>
        <v>#DIV/0!</v>
      </c>
      <c r="E20" s="27" t="e">
        <f t="shared" si="7"/>
        <v>#DIV/0!</v>
      </c>
      <c r="F20" s="48">
        <f>+-PMT(Inputs!$R$9,40,Inputs!$G$79)</f>
        <v>0</v>
      </c>
      <c r="G20" s="27">
        <f>Inputs!$G$79*0.015</f>
        <v>0</v>
      </c>
      <c r="H20" s="27" t="e">
        <f>+E20*Inputs!$R$8</f>
        <v>#DIV/0!</v>
      </c>
      <c r="I20" s="27">
        <f t="shared" si="0"/>
        <v>0</v>
      </c>
      <c r="J20" s="27" t="e">
        <f t="shared" si="1"/>
        <v>#DIV/0!</v>
      </c>
      <c r="K20" s="48">
        <f t="shared" si="3"/>
        <v>0</v>
      </c>
      <c r="L20" s="48" t="e">
        <f t="shared" si="4"/>
        <v>#DIV/0!</v>
      </c>
      <c r="M20" s="28" t="e">
        <f t="shared" si="2"/>
        <v>#DIV/0!</v>
      </c>
      <c r="O20" s="172"/>
    </row>
    <row r="21" spans="2:15" ht="15.6">
      <c r="B21" s="164">
        <f t="shared" si="5"/>
        <v>13</v>
      </c>
      <c r="C21" s="171">
        <f>POWER(1+Inputs!$R$7,B21)</f>
        <v>2.0608339865735776</v>
      </c>
      <c r="D21" s="27" t="e">
        <f t="shared" si="6"/>
        <v>#DIV/0!</v>
      </c>
      <c r="E21" s="27" t="e">
        <f t="shared" si="7"/>
        <v>#DIV/0!</v>
      </c>
      <c r="F21" s="48">
        <f>+-PMT(Inputs!$R$9,40,Inputs!$G$79)</f>
        <v>0</v>
      </c>
      <c r="G21" s="27">
        <f>Inputs!$G$79*0.015</f>
        <v>0</v>
      </c>
      <c r="H21" s="27" t="e">
        <f>+E21*Inputs!$R$8</f>
        <v>#DIV/0!</v>
      </c>
      <c r="I21" s="27">
        <f t="shared" si="0"/>
        <v>0</v>
      </c>
      <c r="J21" s="27" t="e">
        <f t="shared" si="1"/>
        <v>#DIV/0!</v>
      </c>
      <c r="K21" s="48">
        <f t="shared" si="3"/>
        <v>0</v>
      </c>
      <c r="L21" s="48" t="e">
        <f t="shared" si="4"/>
        <v>#DIV/0!</v>
      </c>
      <c r="M21" s="28" t="e">
        <f t="shared" si="2"/>
        <v>#DIV/0!</v>
      </c>
      <c r="O21" s="172"/>
    </row>
    <row r="22" spans="2:15" ht="15.6">
      <c r="B22" s="164">
        <f t="shared" si="5"/>
        <v>14</v>
      </c>
      <c r="C22" s="171">
        <f>POWER(1+Inputs!$R$7,B22)</f>
        <v>2.1787136906055862</v>
      </c>
      <c r="D22" s="27" t="e">
        <f t="shared" si="6"/>
        <v>#DIV/0!</v>
      </c>
      <c r="E22" s="27" t="e">
        <f t="shared" si="7"/>
        <v>#DIV/0!</v>
      </c>
      <c r="F22" s="48">
        <f>+-PMT(Inputs!$R$9,40,Inputs!$G$79)</f>
        <v>0</v>
      </c>
      <c r="G22" s="27">
        <f>Inputs!$G$79*0.015</f>
        <v>0</v>
      </c>
      <c r="H22" s="27" t="e">
        <f>+E22*Inputs!$R$8</f>
        <v>#DIV/0!</v>
      </c>
      <c r="I22" s="27">
        <f t="shared" si="0"/>
        <v>0</v>
      </c>
      <c r="J22" s="27" t="e">
        <f t="shared" si="1"/>
        <v>#DIV/0!</v>
      </c>
      <c r="K22" s="48">
        <f t="shared" si="3"/>
        <v>0</v>
      </c>
      <c r="L22" s="48" t="e">
        <f t="shared" si="4"/>
        <v>#DIV/0!</v>
      </c>
      <c r="M22" s="28" t="e">
        <f t="shared" si="2"/>
        <v>#DIV/0!</v>
      </c>
      <c r="O22" s="172"/>
    </row>
    <row r="23" spans="2:15" ht="15.6">
      <c r="B23" s="164">
        <f t="shared" si="5"/>
        <v>15</v>
      </c>
      <c r="C23" s="171">
        <f>POWER(1+Inputs!$R$7,B23)</f>
        <v>2.3033361137082253</v>
      </c>
      <c r="D23" s="27" t="e">
        <f t="shared" si="6"/>
        <v>#DIV/0!</v>
      </c>
      <c r="E23" s="27" t="e">
        <f t="shared" si="7"/>
        <v>#DIV/0!</v>
      </c>
      <c r="F23" s="48">
        <f>+-PMT(Inputs!$R$9,40,Inputs!$G$79)</f>
        <v>0</v>
      </c>
      <c r="G23" s="27">
        <f>Inputs!$G$79*0.015</f>
        <v>0</v>
      </c>
      <c r="H23" s="27" t="e">
        <f>+E23*Inputs!$R$8</f>
        <v>#DIV/0!</v>
      </c>
      <c r="I23" s="27">
        <f t="shared" si="0"/>
        <v>0</v>
      </c>
      <c r="J23" s="27" t="e">
        <f t="shared" si="1"/>
        <v>#DIV/0!</v>
      </c>
      <c r="K23" s="48">
        <f t="shared" si="3"/>
        <v>0</v>
      </c>
      <c r="L23" s="48" t="e">
        <f t="shared" si="4"/>
        <v>#DIV/0!</v>
      </c>
      <c r="M23" s="28" t="e">
        <f t="shared" si="2"/>
        <v>#DIV/0!</v>
      </c>
      <c r="O23" s="172"/>
    </row>
    <row r="24" spans="2:15" ht="15.6">
      <c r="B24" s="164">
        <f t="shared" si="5"/>
        <v>16</v>
      </c>
      <c r="C24" s="171">
        <f>POWER(1+Inputs!$R$7,B24)</f>
        <v>2.435086939412336</v>
      </c>
      <c r="D24" s="27" t="e">
        <f t="shared" si="6"/>
        <v>#DIV/0!</v>
      </c>
      <c r="E24" s="27" t="e">
        <f t="shared" si="7"/>
        <v>#DIV/0!</v>
      </c>
      <c r="F24" s="48">
        <f>+-PMT(Inputs!$R$9,40,Inputs!$G$79)</f>
        <v>0</v>
      </c>
      <c r="G24" s="27">
        <f>Inputs!$G$79*0.015</f>
        <v>0</v>
      </c>
      <c r="H24" s="27" t="e">
        <f>+E24*Inputs!$R$8</f>
        <v>#DIV/0!</v>
      </c>
      <c r="I24" s="27">
        <f t="shared" si="0"/>
        <v>0</v>
      </c>
      <c r="J24" s="27" t="e">
        <f t="shared" si="1"/>
        <v>#DIV/0!</v>
      </c>
      <c r="K24" s="48">
        <f t="shared" si="3"/>
        <v>0</v>
      </c>
      <c r="L24" s="48" t="e">
        <f t="shared" si="4"/>
        <v>#DIV/0!</v>
      </c>
      <c r="M24" s="28" t="e">
        <f t="shared" si="2"/>
        <v>#DIV/0!</v>
      </c>
      <c r="O24" s="172"/>
    </row>
    <row r="25" spans="2:15" ht="15.6">
      <c r="B25" s="164">
        <f t="shared" si="5"/>
        <v>17</v>
      </c>
      <c r="C25" s="171">
        <f>POWER(1+Inputs!$R$7,B25)</f>
        <v>2.5743739123467213</v>
      </c>
      <c r="D25" s="27" t="e">
        <f t="shared" si="6"/>
        <v>#DIV/0!</v>
      </c>
      <c r="E25" s="27" t="e">
        <f t="shared" si="7"/>
        <v>#DIV/0!</v>
      </c>
      <c r="F25" s="48">
        <f>+-PMT(Inputs!$R$9,40,Inputs!$G$79)</f>
        <v>0</v>
      </c>
      <c r="G25" s="27">
        <f>Inputs!$G$79*0.015</f>
        <v>0</v>
      </c>
      <c r="H25" s="27" t="e">
        <f>+E25*Inputs!$R$8</f>
        <v>#DIV/0!</v>
      </c>
      <c r="I25" s="27">
        <f t="shared" si="0"/>
        <v>0</v>
      </c>
      <c r="J25" s="27" t="e">
        <f t="shared" si="1"/>
        <v>#DIV/0!</v>
      </c>
      <c r="K25" s="48">
        <f t="shared" si="3"/>
        <v>0</v>
      </c>
      <c r="L25" s="48" t="e">
        <f t="shared" si="4"/>
        <v>#DIV/0!</v>
      </c>
      <c r="M25" s="28" t="e">
        <f t="shared" si="2"/>
        <v>#DIV/0!</v>
      </c>
      <c r="O25" s="172"/>
    </row>
    <row r="26" spans="2:15" ht="15.6">
      <c r="B26" s="164">
        <f t="shared" si="5"/>
        <v>18</v>
      </c>
      <c r="C26" s="171">
        <f>POWER(1+Inputs!$R$7,B26)</f>
        <v>2.7216281001329539</v>
      </c>
      <c r="D26" s="27" t="e">
        <f t="shared" si="6"/>
        <v>#DIV/0!</v>
      </c>
      <c r="E26" s="27" t="e">
        <f t="shared" si="7"/>
        <v>#DIV/0!</v>
      </c>
      <c r="F26" s="48">
        <f>+-PMT(Inputs!$R$9,40,Inputs!$G$79)</f>
        <v>0</v>
      </c>
      <c r="G26" s="27">
        <f>Inputs!$G$79*0.015</f>
        <v>0</v>
      </c>
      <c r="H26" s="27" t="e">
        <f>+E26*Inputs!$R$8</f>
        <v>#DIV/0!</v>
      </c>
      <c r="I26" s="27">
        <f t="shared" si="0"/>
        <v>0</v>
      </c>
      <c r="J26" s="27" t="e">
        <f t="shared" si="1"/>
        <v>#DIV/0!</v>
      </c>
      <c r="K26" s="48">
        <f t="shared" si="3"/>
        <v>0</v>
      </c>
      <c r="L26" s="48" t="e">
        <f t="shared" si="4"/>
        <v>#DIV/0!</v>
      </c>
      <c r="M26" s="28" t="e">
        <f t="shared" si="2"/>
        <v>#DIV/0!</v>
      </c>
      <c r="O26" s="172"/>
    </row>
    <row r="27" spans="2:15" ht="15.6">
      <c r="B27" s="164">
        <f t="shared" si="5"/>
        <v>19</v>
      </c>
      <c r="C27" s="171">
        <f>POWER(1+Inputs!$R$7,B27)</f>
        <v>2.8773052274605586</v>
      </c>
      <c r="D27" s="27" t="e">
        <f t="shared" si="6"/>
        <v>#DIV/0!</v>
      </c>
      <c r="E27" s="27" t="e">
        <f t="shared" si="7"/>
        <v>#DIV/0!</v>
      </c>
      <c r="F27" s="48">
        <f>+-PMT(Inputs!$R$9,40,Inputs!$G$79)</f>
        <v>0</v>
      </c>
      <c r="G27" s="27">
        <f>Inputs!$G$79*0.015</f>
        <v>0</v>
      </c>
      <c r="H27" s="27" t="e">
        <f>+E27*Inputs!$R$8</f>
        <v>#DIV/0!</v>
      </c>
      <c r="I27" s="27">
        <f t="shared" si="0"/>
        <v>0</v>
      </c>
      <c r="J27" s="27" t="e">
        <f t="shared" si="1"/>
        <v>#DIV/0!</v>
      </c>
      <c r="K27" s="48">
        <f t="shared" si="3"/>
        <v>0</v>
      </c>
      <c r="L27" s="48" t="e">
        <f t="shared" si="4"/>
        <v>#DIV/0!</v>
      </c>
      <c r="M27" s="28" t="e">
        <f t="shared" si="2"/>
        <v>#DIV/0!</v>
      </c>
      <c r="O27" s="172"/>
    </row>
    <row r="28" spans="2:15" ht="15.6">
      <c r="B28" s="164">
        <f t="shared" si="5"/>
        <v>20</v>
      </c>
      <c r="C28" s="171">
        <f>POWER(1+Inputs!$R$7,B28)</f>
        <v>3.0418870864713026</v>
      </c>
      <c r="D28" s="27" t="e">
        <f t="shared" ref="D28:D44" si="8">+D27</f>
        <v>#DIV/0!</v>
      </c>
      <c r="E28" s="27" t="e">
        <f t="shared" si="7"/>
        <v>#DIV/0!</v>
      </c>
      <c r="F28" s="48">
        <f>+-PMT(Inputs!$R$9,40,Inputs!$G$79)</f>
        <v>0</v>
      </c>
      <c r="G28" s="27">
        <f>Inputs!$G$79*0.015</f>
        <v>0</v>
      </c>
      <c r="H28" s="27" t="e">
        <f>+E28*Inputs!$R$8</f>
        <v>#DIV/0!</v>
      </c>
      <c r="I28" s="27">
        <f t="shared" si="0"/>
        <v>0</v>
      </c>
      <c r="J28" s="27" t="e">
        <f t="shared" si="1"/>
        <v>#DIV/0!</v>
      </c>
      <c r="K28" s="48">
        <f t="shared" si="3"/>
        <v>0</v>
      </c>
      <c r="L28" s="48" t="e">
        <f t="shared" si="4"/>
        <v>#DIV/0!</v>
      </c>
      <c r="M28" s="28" t="e">
        <f t="shared" si="2"/>
        <v>#DIV/0!</v>
      </c>
      <c r="O28" s="172"/>
    </row>
    <row r="29" spans="2:15" ht="15.6">
      <c r="B29" s="164">
        <f t="shared" si="5"/>
        <v>21</v>
      </c>
      <c r="C29" s="171">
        <f>POWER(1+Inputs!$R$7,B29)</f>
        <v>3.2158830278174606</v>
      </c>
      <c r="D29" s="27" t="e">
        <f t="shared" si="8"/>
        <v>#DIV/0!</v>
      </c>
      <c r="E29" s="27" t="e">
        <f t="shared" si="7"/>
        <v>#DIV/0!</v>
      </c>
      <c r="F29" s="48">
        <f>+-PMT(Inputs!$R$9,40,Inputs!$G$79)</f>
        <v>0</v>
      </c>
      <c r="G29" s="27">
        <f>Inputs!$G$79*0.015</f>
        <v>0</v>
      </c>
      <c r="H29" s="27" t="e">
        <f>+E29*Inputs!$R$8</f>
        <v>#DIV/0!</v>
      </c>
      <c r="I29" s="27">
        <f t="shared" si="0"/>
        <v>0</v>
      </c>
      <c r="J29" s="27" t="e">
        <f t="shared" si="1"/>
        <v>#DIV/0!</v>
      </c>
      <c r="K29" s="48">
        <f t="shared" si="3"/>
        <v>0</v>
      </c>
      <c r="L29" s="48" t="e">
        <f t="shared" si="4"/>
        <v>#DIV/0!</v>
      </c>
      <c r="M29" s="28" t="e">
        <f t="shared" si="2"/>
        <v>#DIV/0!</v>
      </c>
      <c r="O29" s="172"/>
    </row>
    <row r="30" spans="2:15" ht="15.6">
      <c r="B30" s="164">
        <f t="shared" ref="B30:B38" si="9">1+B29</f>
        <v>22</v>
      </c>
      <c r="C30" s="171">
        <f>POWER(1+Inputs!$R$7,B30)</f>
        <v>3.3998315370086196</v>
      </c>
      <c r="D30" s="27" t="e">
        <f t="shared" si="8"/>
        <v>#DIV/0!</v>
      </c>
      <c r="E30" s="27" t="e">
        <f t="shared" ref="E30:E38" si="10">+E29</f>
        <v>#DIV/0!</v>
      </c>
      <c r="F30" s="48">
        <f>+-PMT(Inputs!$R$9,40,Inputs!$G$79)</f>
        <v>0</v>
      </c>
      <c r="G30" s="27">
        <f>Inputs!$G$79*0.015</f>
        <v>0</v>
      </c>
      <c r="H30" s="27" t="e">
        <f>+E30*Inputs!$R$8</f>
        <v>#DIV/0!</v>
      </c>
      <c r="I30" s="27">
        <f t="shared" si="0"/>
        <v>0</v>
      </c>
      <c r="J30" s="27" t="e">
        <f t="shared" si="1"/>
        <v>#DIV/0!</v>
      </c>
      <c r="K30" s="48">
        <f t="shared" si="3"/>
        <v>0</v>
      </c>
      <c r="L30" s="48" t="e">
        <f t="shared" si="4"/>
        <v>#DIV/0!</v>
      </c>
      <c r="M30" s="28" t="e">
        <f t="shared" si="2"/>
        <v>#DIV/0!</v>
      </c>
      <c r="O30" s="172"/>
    </row>
    <row r="31" spans="2:15" ht="15.6">
      <c r="B31" s="164">
        <f t="shared" si="9"/>
        <v>23</v>
      </c>
      <c r="C31" s="171">
        <f>POWER(1+Inputs!$R$7,B31)</f>
        <v>3.5943019009255122</v>
      </c>
      <c r="D31" s="27" t="e">
        <f t="shared" si="8"/>
        <v>#DIV/0!</v>
      </c>
      <c r="E31" s="27" t="e">
        <f t="shared" si="10"/>
        <v>#DIV/0!</v>
      </c>
      <c r="F31" s="48">
        <f>+-PMT(Inputs!$R$9,40,Inputs!$G$79)</f>
        <v>0</v>
      </c>
      <c r="G31" s="27">
        <f>Inputs!$G$79*0.015</f>
        <v>0</v>
      </c>
      <c r="H31" s="27" t="e">
        <f>+E31*Inputs!$R$8</f>
        <v>#DIV/0!</v>
      </c>
      <c r="I31" s="27">
        <f t="shared" si="0"/>
        <v>0</v>
      </c>
      <c r="J31" s="27" t="e">
        <f t="shared" si="1"/>
        <v>#DIV/0!</v>
      </c>
      <c r="K31" s="48">
        <f t="shared" si="3"/>
        <v>0</v>
      </c>
      <c r="L31" s="48" t="e">
        <f t="shared" si="4"/>
        <v>#DIV/0!</v>
      </c>
      <c r="M31" s="28" t="e">
        <f t="shared" si="2"/>
        <v>#DIV/0!</v>
      </c>
      <c r="O31" s="172"/>
    </row>
    <row r="32" spans="2:15" ht="15.6">
      <c r="B32" s="164">
        <f t="shared" si="9"/>
        <v>24</v>
      </c>
      <c r="C32" s="171">
        <f>POWER(1+Inputs!$R$7,B32)</f>
        <v>3.7998959696584511</v>
      </c>
      <c r="D32" s="27" t="e">
        <f t="shared" si="8"/>
        <v>#DIV/0!</v>
      </c>
      <c r="E32" s="27" t="e">
        <f t="shared" si="10"/>
        <v>#DIV/0!</v>
      </c>
      <c r="F32" s="48">
        <f>+-PMT(Inputs!$R$9,40,Inputs!$G$79)</f>
        <v>0</v>
      </c>
      <c r="G32" s="27">
        <f>Inputs!$G$79*0.015</f>
        <v>0</v>
      </c>
      <c r="H32" s="27" t="e">
        <f>+E32*Inputs!$R$8</f>
        <v>#DIV/0!</v>
      </c>
      <c r="I32" s="27">
        <f t="shared" si="0"/>
        <v>0</v>
      </c>
      <c r="J32" s="27" t="e">
        <f t="shared" si="1"/>
        <v>#DIV/0!</v>
      </c>
      <c r="K32" s="48">
        <f t="shared" si="3"/>
        <v>0</v>
      </c>
      <c r="L32" s="48" t="e">
        <f t="shared" si="4"/>
        <v>#DIV/0!</v>
      </c>
      <c r="M32" s="28" t="e">
        <f t="shared" si="2"/>
        <v>#DIV/0!</v>
      </c>
      <c r="O32" s="172"/>
    </row>
    <row r="33" spans="2:15" ht="15.6">
      <c r="B33" s="164">
        <f t="shared" si="9"/>
        <v>25</v>
      </c>
      <c r="C33" s="171">
        <f>POWER(1+Inputs!$R$7,B33)</f>
        <v>4.0172500191229146</v>
      </c>
      <c r="D33" s="27" t="e">
        <f t="shared" si="8"/>
        <v>#DIV/0!</v>
      </c>
      <c r="E33" s="27" t="e">
        <f t="shared" si="10"/>
        <v>#DIV/0!</v>
      </c>
      <c r="F33" s="48">
        <f>+-PMT(Inputs!$R$9,40,Inputs!$G$79)</f>
        <v>0</v>
      </c>
      <c r="G33" s="27">
        <f>Inputs!$G$79*0.015</f>
        <v>0</v>
      </c>
      <c r="H33" s="27" t="e">
        <f>+E33*Inputs!$R$8</f>
        <v>#DIV/0!</v>
      </c>
      <c r="I33" s="27">
        <f t="shared" si="0"/>
        <v>0</v>
      </c>
      <c r="J33" s="27" t="e">
        <f t="shared" si="1"/>
        <v>#DIV/0!</v>
      </c>
      <c r="K33" s="48">
        <f t="shared" si="3"/>
        <v>0</v>
      </c>
      <c r="L33" s="48" t="e">
        <f t="shared" si="4"/>
        <v>#DIV/0!</v>
      </c>
      <c r="M33" s="28" t="e">
        <f t="shared" si="2"/>
        <v>#DIV/0!</v>
      </c>
      <c r="O33" s="172"/>
    </row>
    <row r="34" spans="2:15" ht="15.6">
      <c r="B34" s="164">
        <f t="shared" si="9"/>
        <v>26</v>
      </c>
      <c r="C34" s="171">
        <f>POWER(1+Inputs!$R$7,B34)</f>
        <v>4.2470367202167445</v>
      </c>
      <c r="D34" s="27" t="e">
        <f t="shared" si="8"/>
        <v>#DIV/0!</v>
      </c>
      <c r="E34" s="27" t="e">
        <f t="shared" si="10"/>
        <v>#DIV/0!</v>
      </c>
      <c r="F34" s="48">
        <f>+-PMT(Inputs!$R$9,40,Inputs!$G$79)</f>
        <v>0</v>
      </c>
      <c r="G34" s="27">
        <f>Inputs!$G$79*0.015</f>
        <v>0</v>
      </c>
      <c r="H34" s="27" t="e">
        <f>+E34*Inputs!$R$8</f>
        <v>#DIV/0!</v>
      </c>
      <c r="I34" s="27">
        <f t="shared" si="0"/>
        <v>0</v>
      </c>
      <c r="J34" s="27" t="e">
        <f t="shared" si="1"/>
        <v>#DIV/0!</v>
      </c>
      <c r="K34" s="48">
        <f t="shared" si="3"/>
        <v>0</v>
      </c>
      <c r="L34" s="48" t="e">
        <f t="shared" si="4"/>
        <v>#DIV/0!</v>
      </c>
      <c r="M34" s="28" t="e">
        <f t="shared" si="2"/>
        <v>#DIV/0!</v>
      </c>
      <c r="O34" s="172"/>
    </row>
    <row r="35" spans="2:15" ht="15.6">
      <c r="B35" s="164">
        <f t="shared" si="9"/>
        <v>27</v>
      </c>
      <c r="C35" s="171">
        <f>POWER(1+Inputs!$R$7,B35)</f>
        <v>4.489967220613142</v>
      </c>
      <c r="D35" s="27" t="e">
        <f t="shared" si="8"/>
        <v>#DIV/0!</v>
      </c>
      <c r="E35" s="27" t="e">
        <f t="shared" si="10"/>
        <v>#DIV/0!</v>
      </c>
      <c r="F35" s="48">
        <f>+-PMT(Inputs!$R$9,40,Inputs!$G$79)</f>
        <v>0</v>
      </c>
      <c r="G35" s="27">
        <f>Inputs!$G$79*0.015</f>
        <v>0</v>
      </c>
      <c r="H35" s="27" t="e">
        <f>+E35*Inputs!$R$8</f>
        <v>#DIV/0!</v>
      </c>
      <c r="I35" s="27">
        <f t="shared" si="0"/>
        <v>0</v>
      </c>
      <c r="J35" s="27" t="e">
        <f t="shared" si="1"/>
        <v>#DIV/0!</v>
      </c>
      <c r="K35" s="48">
        <f t="shared" si="3"/>
        <v>0</v>
      </c>
      <c r="L35" s="48" t="e">
        <f t="shared" si="4"/>
        <v>#DIV/0!</v>
      </c>
      <c r="M35" s="28" t="e">
        <f t="shared" si="2"/>
        <v>#DIV/0!</v>
      </c>
      <c r="O35" s="172"/>
    </row>
    <row r="36" spans="2:15" ht="15.6">
      <c r="B36" s="164">
        <f t="shared" si="9"/>
        <v>28</v>
      </c>
      <c r="C36" s="171">
        <f>POWER(1+Inputs!$R$7,B36)</f>
        <v>4.7467933456322147</v>
      </c>
      <c r="D36" s="27" t="e">
        <f t="shared" si="8"/>
        <v>#DIV/0!</v>
      </c>
      <c r="E36" s="27" t="e">
        <f t="shared" si="10"/>
        <v>#DIV/0!</v>
      </c>
      <c r="F36" s="48">
        <f>+-PMT(Inputs!$R$9,40,Inputs!$G$79)</f>
        <v>0</v>
      </c>
      <c r="G36" s="27">
        <f>Inputs!$G$79*0.015</f>
        <v>0</v>
      </c>
      <c r="H36" s="27" t="e">
        <f>+E36*Inputs!$R$8</f>
        <v>#DIV/0!</v>
      </c>
      <c r="I36" s="27">
        <f t="shared" si="0"/>
        <v>0</v>
      </c>
      <c r="J36" s="27" t="e">
        <f t="shared" si="1"/>
        <v>#DIV/0!</v>
      </c>
      <c r="K36" s="48">
        <f t="shared" si="3"/>
        <v>0</v>
      </c>
      <c r="L36" s="48" t="e">
        <f t="shared" si="4"/>
        <v>#DIV/0!</v>
      </c>
      <c r="M36" s="28" t="e">
        <f t="shared" si="2"/>
        <v>#DIV/0!</v>
      </c>
      <c r="O36" s="172"/>
    </row>
    <row r="37" spans="2:15" ht="15.6">
      <c r="B37" s="164">
        <f t="shared" si="9"/>
        <v>29</v>
      </c>
      <c r="C37" s="171">
        <f>POWER(1+Inputs!$R$7,B37)</f>
        <v>5.0183099250023764</v>
      </c>
      <c r="D37" s="27" t="e">
        <f t="shared" si="8"/>
        <v>#DIV/0!</v>
      </c>
      <c r="E37" s="27" t="e">
        <f t="shared" si="10"/>
        <v>#DIV/0!</v>
      </c>
      <c r="F37" s="48">
        <f>+-PMT(Inputs!$R$9,40,Inputs!$G$79)</f>
        <v>0</v>
      </c>
      <c r="G37" s="27">
        <f>Inputs!$G$79*0.015</f>
        <v>0</v>
      </c>
      <c r="H37" s="27" t="e">
        <f>+E37*Inputs!$R$8</f>
        <v>#DIV/0!</v>
      </c>
      <c r="I37" s="27">
        <f t="shared" si="0"/>
        <v>0</v>
      </c>
      <c r="J37" s="27" t="e">
        <f t="shared" si="1"/>
        <v>#DIV/0!</v>
      </c>
      <c r="K37" s="48">
        <f t="shared" si="3"/>
        <v>0</v>
      </c>
      <c r="L37" s="48" t="e">
        <f t="shared" si="4"/>
        <v>#DIV/0!</v>
      </c>
      <c r="M37" s="28" t="e">
        <f t="shared" si="2"/>
        <v>#DIV/0!</v>
      </c>
      <c r="O37" s="172"/>
    </row>
    <row r="38" spans="2:15" ht="15.6">
      <c r="B38" s="164">
        <f t="shared" si="9"/>
        <v>30</v>
      </c>
      <c r="C38" s="171">
        <f>POWER(1+Inputs!$R$7,B38)</f>
        <v>5.3053572527125121</v>
      </c>
      <c r="D38" s="27" t="e">
        <f t="shared" si="8"/>
        <v>#DIV/0!</v>
      </c>
      <c r="E38" s="27" t="e">
        <f t="shared" si="10"/>
        <v>#DIV/0!</v>
      </c>
      <c r="F38" s="48">
        <f>+-PMT(Inputs!$R$9,40,Inputs!$G$79)</f>
        <v>0</v>
      </c>
      <c r="G38" s="27">
        <f>Inputs!$G$79*0.015</f>
        <v>0</v>
      </c>
      <c r="H38" s="27" t="e">
        <f>+E38*Inputs!$R$8</f>
        <v>#DIV/0!</v>
      </c>
      <c r="I38" s="27">
        <f t="shared" si="0"/>
        <v>0</v>
      </c>
      <c r="J38" s="27" t="e">
        <f t="shared" si="1"/>
        <v>#DIV/0!</v>
      </c>
      <c r="K38" s="48">
        <f t="shared" si="3"/>
        <v>0</v>
      </c>
      <c r="L38" s="48" t="e">
        <f t="shared" si="4"/>
        <v>#DIV/0!</v>
      </c>
      <c r="M38" s="28" t="e">
        <f t="shared" si="2"/>
        <v>#DIV/0!</v>
      </c>
      <c r="O38" s="172"/>
    </row>
    <row r="39" spans="2:15" ht="15.6">
      <c r="B39" s="164">
        <f t="shared" ref="B39:B48" si="11">1+B38</f>
        <v>31</v>
      </c>
      <c r="C39" s="171">
        <f>POWER(1+Inputs!$R$7,B39)</f>
        <v>5.6088236875676669</v>
      </c>
      <c r="D39" s="27" t="e">
        <f t="shared" si="8"/>
        <v>#DIV/0!</v>
      </c>
      <c r="E39" s="27" t="e">
        <f t="shared" ref="E39:E48" si="12">+E38</f>
        <v>#DIV/0!</v>
      </c>
      <c r="F39" s="48">
        <f>+-PMT(Inputs!$R$9,40,Inputs!$G$79)</f>
        <v>0</v>
      </c>
      <c r="G39" s="27">
        <f>Inputs!$G$79*0.015</f>
        <v>0</v>
      </c>
      <c r="H39" s="27" t="e">
        <f>+E39*Inputs!$R$8</f>
        <v>#DIV/0!</v>
      </c>
      <c r="I39" s="27">
        <f t="shared" si="0"/>
        <v>0</v>
      </c>
      <c r="J39" s="27" t="e">
        <f t="shared" si="1"/>
        <v>#DIV/0!</v>
      </c>
      <c r="K39" s="48">
        <f t="shared" si="3"/>
        <v>0</v>
      </c>
      <c r="L39" s="48" t="e">
        <f t="shared" si="4"/>
        <v>#DIV/0!</v>
      </c>
      <c r="M39" s="28" t="e">
        <f t="shared" ref="M39:M47" si="13">D39/C39</f>
        <v>#DIV/0!</v>
      </c>
      <c r="O39" s="172"/>
    </row>
    <row r="40" spans="2:15" ht="15.6">
      <c r="B40" s="164">
        <f t="shared" si="11"/>
        <v>32</v>
      </c>
      <c r="C40" s="171">
        <f>POWER(1+Inputs!$R$7,B40)</f>
        <v>5.9296484024965377</v>
      </c>
      <c r="D40" s="27" t="e">
        <f t="shared" si="8"/>
        <v>#DIV/0!</v>
      </c>
      <c r="E40" s="27" t="e">
        <f t="shared" si="12"/>
        <v>#DIV/0!</v>
      </c>
      <c r="F40" s="48">
        <f>+-PMT(Inputs!$R$9,40,Inputs!$G$79)</f>
        <v>0</v>
      </c>
      <c r="G40" s="27">
        <f>Inputs!$G$79*0.015</f>
        <v>0</v>
      </c>
      <c r="H40" s="27" t="e">
        <f>+E40*Inputs!$R$8</f>
        <v>#DIV/0!</v>
      </c>
      <c r="I40" s="27">
        <f t="shared" si="0"/>
        <v>0</v>
      </c>
      <c r="J40" s="27" t="e">
        <f t="shared" si="1"/>
        <v>#DIV/0!</v>
      </c>
      <c r="K40" s="48">
        <f t="shared" si="3"/>
        <v>0</v>
      </c>
      <c r="L40" s="48" t="e">
        <f t="shared" si="4"/>
        <v>#DIV/0!</v>
      </c>
      <c r="M40" s="28" t="e">
        <f t="shared" si="13"/>
        <v>#DIV/0!</v>
      </c>
      <c r="O40" s="172"/>
    </row>
    <row r="41" spans="2:15" ht="15.6">
      <c r="B41" s="164">
        <f t="shared" si="11"/>
        <v>33</v>
      </c>
      <c r="C41" s="171">
        <f>POWER(1+Inputs!$R$7,B41)</f>
        <v>6.2688242911193388</v>
      </c>
      <c r="D41" s="27" t="e">
        <f t="shared" si="8"/>
        <v>#DIV/0!</v>
      </c>
      <c r="E41" s="27" t="e">
        <f t="shared" si="12"/>
        <v>#DIV/0!</v>
      </c>
      <c r="F41" s="48">
        <f>+-PMT(Inputs!$R$9,40,Inputs!$G$79)</f>
        <v>0</v>
      </c>
      <c r="G41" s="27">
        <f>Inputs!$G$79*0.015</f>
        <v>0</v>
      </c>
      <c r="H41" s="27" t="e">
        <f>+E41*Inputs!$R$8</f>
        <v>#DIV/0!</v>
      </c>
      <c r="I41" s="27">
        <f t="shared" si="0"/>
        <v>0</v>
      </c>
      <c r="J41" s="27" t="e">
        <f t="shared" si="1"/>
        <v>#DIV/0!</v>
      </c>
      <c r="K41" s="48">
        <f t="shared" si="3"/>
        <v>0</v>
      </c>
      <c r="L41" s="48" t="e">
        <f t="shared" si="4"/>
        <v>#DIV/0!</v>
      </c>
      <c r="M41" s="28" t="e">
        <f t="shared" si="13"/>
        <v>#DIV/0!</v>
      </c>
      <c r="O41" s="172"/>
    </row>
    <row r="42" spans="2:15" ht="15.6">
      <c r="B42" s="164">
        <f t="shared" si="11"/>
        <v>34</v>
      </c>
      <c r="C42" s="171">
        <f>POWER(1+Inputs!$R$7,B42)</f>
        <v>6.6274010405713648</v>
      </c>
      <c r="D42" s="27" t="e">
        <f t="shared" si="8"/>
        <v>#DIV/0!</v>
      </c>
      <c r="E42" s="27" t="e">
        <f t="shared" si="12"/>
        <v>#DIV/0!</v>
      </c>
      <c r="F42" s="48">
        <f>+-PMT(Inputs!$R$9,40,Inputs!$G$79)</f>
        <v>0</v>
      </c>
      <c r="G42" s="27">
        <f>Inputs!$G$79*0.015</f>
        <v>0</v>
      </c>
      <c r="H42" s="27" t="e">
        <f>+E42*Inputs!$R$8</f>
        <v>#DIV/0!</v>
      </c>
      <c r="I42" s="27">
        <f t="shared" si="0"/>
        <v>0</v>
      </c>
      <c r="J42" s="27" t="e">
        <f t="shared" si="1"/>
        <v>#DIV/0!</v>
      </c>
      <c r="K42" s="48">
        <f t="shared" si="3"/>
        <v>0</v>
      </c>
      <c r="L42" s="48" t="e">
        <f t="shared" si="4"/>
        <v>#DIV/0!</v>
      </c>
      <c r="M42" s="28" t="e">
        <f t="shared" si="13"/>
        <v>#DIV/0!</v>
      </c>
      <c r="O42" s="172"/>
    </row>
    <row r="43" spans="2:15" ht="15.6">
      <c r="B43" s="164">
        <f t="shared" si="11"/>
        <v>35</v>
      </c>
      <c r="C43" s="171">
        <f>POWER(1+Inputs!$R$7,B43)</f>
        <v>7.0064883800920468</v>
      </c>
      <c r="D43" s="27" t="e">
        <f t="shared" si="8"/>
        <v>#DIV/0!</v>
      </c>
      <c r="E43" s="27" t="e">
        <f t="shared" si="12"/>
        <v>#DIV/0!</v>
      </c>
      <c r="F43" s="48">
        <f>+-PMT(Inputs!$R$9,40,Inputs!$G$79)</f>
        <v>0</v>
      </c>
      <c r="G43" s="27">
        <f>Inputs!$G$79*0.015</f>
        <v>0</v>
      </c>
      <c r="H43" s="27" t="e">
        <f>+E43*Inputs!$R$8</f>
        <v>#DIV/0!</v>
      </c>
      <c r="I43" s="27">
        <f t="shared" si="0"/>
        <v>0</v>
      </c>
      <c r="J43" s="27" t="e">
        <f t="shared" si="1"/>
        <v>#DIV/0!</v>
      </c>
      <c r="K43" s="48">
        <f t="shared" si="3"/>
        <v>0</v>
      </c>
      <c r="L43" s="48" t="e">
        <f t="shared" si="4"/>
        <v>#DIV/0!</v>
      </c>
      <c r="M43" s="28" t="e">
        <f t="shared" si="13"/>
        <v>#DIV/0!</v>
      </c>
      <c r="O43" s="172"/>
    </row>
    <row r="44" spans="2:15" ht="15.6">
      <c r="B44" s="164">
        <f t="shared" si="11"/>
        <v>36</v>
      </c>
      <c r="C44" s="171">
        <f>POWER(1+Inputs!$R$7,B44)</f>
        <v>7.4072595154333118</v>
      </c>
      <c r="D44" s="27" t="e">
        <f t="shared" si="8"/>
        <v>#DIV/0!</v>
      </c>
      <c r="E44" s="27" t="e">
        <f t="shared" si="12"/>
        <v>#DIV/0!</v>
      </c>
      <c r="F44" s="48">
        <f>+-PMT(Inputs!$R$9,40,Inputs!$G$79)</f>
        <v>0</v>
      </c>
      <c r="G44" s="27">
        <f>Inputs!$G$79*0.015</f>
        <v>0</v>
      </c>
      <c r="H44" s="27" t="e">
        <f>+E44*Inputs!$R$8</f>
        <v>#DIV/0!</v>
      </c>
      <c r="I44" s="27">
        <f t="shared" si="0"/>
        <v>0</v>
      </c>
      <c r="J44" s="27" t="e">
        <f t="shared" si="1"/>
        <v>#DIV/0!</v>
      </c>
      <c r="K44" s="48">
        <f t="shared" si="3"/>
        <v>0</v>
      </c>
      <c r="L44" s="48" t="e">
        <f t="shared" si="4"/>
        <v>#DIV/0!</v>
      </c>
      <c r="M44" s="28" t="e">
        <f t="shared" si="13"/>
        <v>#DIV/0!</v>
      </c>
      <c r="O44" s="172"/>
    </row>
    <row r="45" spans="2:15" ht="15.6">
      <c r="B45" s="164">
        <f t="shared" si="11"/>
        <v>37</v>
      </c>
      <c r="C45" s="171">
        <f>POWER(1+Inputs!$R$7,B45)</f>
        <v>7.8309547597160964</v>
      </c>
      <c r="D45" s="27" t="e">
        <f t="shared" ref="D45:D48" si="14">+D44</f>
        <v>#DIV/0!</v>
      </c>
      <c r="E45" s="27" t="e">
        <f t="shared" si="12"/>
        <v>#DIV/0!</v>
      </c>
      <c r="F45" s="48">
        <f>+-PMT(Inputs!$R$9,40,Inputs!$G$79)</f>
        <v>0</v>
      </c>
      <c r="G45" s="27">
        <f>Inputs!$G$79*0.015</f>
        <v>0</v>
      </c>
      <c r="H45" s="27" t="e">
        <f>+E45*Inputs!$R$8</f>
        <v>#DIV/0!</v>
      </c>
      <c r="I45" s="27">
        <f t="shared" si="0"/>
        <v>0</v>
      </c>
      <c r="J45" s="27" t="e">
        <f t="shared" si="1"/>
        <v>#DIV/0!</v>
      </c>
      <c r="K45" s="48">
        <f t="shared" si="3"/>
        <v>0</v>
      </c>
      <c r="L45" s="48" t="e">
        <f t="shared" si="4"/>
        <v>#DIV/0!</v>
      </c>
      <c r="M45" s="28" t="e">
        <f t="shared" si="13"/>
        <v>#DIV/0!</v>
      </c>
      <c r="O45" s="172"/>
    </row>
    <row r="46" spans="2:15" ht="15.6">
      <c r="B46" s="164">
        <f t="shared" si="11"/>
        <v>38</v>
      </c>
      <c r="C46" s="171">
        <f>POWER(1+Inputs!$R$7,B46)</f>
        <v>8.2788853719718567</v>
      </c>
      <c r="D46" s="27" t="e">
        <f t="shared" si="14"/>
        <v>#DIV/0!</v>
      </c>
      <c r="E46" s="27" t="e">
        <f t="shared" si="12"/>
        <v>#DIV/0!</v>
      </c>
      <c r="F46" s="48">
        <f>+-PMT(Inputs!$R$9,40,Inputs!$G$79)</f>
        <v>0</v>
      </c>
      <c r="G46" s="27">
        <f>Inputs!$G$79*0.015</f>
        <v>0</v>
      </c>
      <c r="H46" s="27" t="e">
        <f>+E46*Inputs!$R$8</f>
        <v>#DIV/0!</v>
      </c>
      <c r="I46" s="27">
        <f t="shared" si="0"/>
        <v>0</v>
      </c>
      <c r="J46" s="27" t="e">
        <f t="shared" si="1"/>
        <v>#DIV/0!</v>
      </c>
      <c r="K46" s="48">
        <f t="shared" si="3"/>
        <v>0</v>
      </c>
      <c r="L46" s="48" t="e">
        <f t="shared" si="4"/>
        <v>#DIV/0!</v>
      </c>
      <c r="M46" s="28" t="e">
        <f t="shared" si="13"/>
        <v>#DIV/0!</v>
      </c>
      <c r="O46" s="172"/>
    </row>
    <row r="47" spans="2:15" ht="15" customHeight="1">
      <c r="B47" s="164">
        <f t="shared" si="11"/>
        <v>39</v>
      </c>
      <c r="C47" s="171">
        <f>POWER(1+Inputs!$R$7,B47)</f>
        <v>8.7524376152486454</v>
      </c>
      <c r="D47" s="27" t="e">
        <f t="shared" si="14"/>
        <v>#DIV/0!</v>
      </c>
      <c r="E47" s="27" t="e">
        <f t="shared" si="12"/>
        <v>#DIV/0!</v>
      </c>
      <c r="F47" s="48">
        <f>+-PMT(Inputs!$R$9,40,Inputs!$G$79)</f>
        <v>0</v>
      </c>
      <c r="G47" s="27">
        <f>Inputs!$G$79*0.015</f>
        <v>0</v>
      </c>
      <c r="H47" s="27" t="e">
        <f>+E47*Inputs!$R$8</f>
        <v>#DIV/0!</v>
      </c>
      <c r="I47" s="27">
        <f t="shared" si="0"/>
        <v>0</v>
      </c>
      <c r="J47" s="27" t="e">
        <f t="shared" si="1"/>
        <v>#DIV/0!</v>
      </c>
      <c r="K47" s="48">
        <f t="shared" si="3"/>
        <v>0</v>
      </c>
      <c r="L47" s="48" t="e">
        <f t="shared" si="4"/>
        <v>#DIV/0!</v>
      </c>
      <c r="M47" s="28" t="e">
        <f t="shared" si="13"/>
        <v>#DIV/0!</v>
      </c>
      <c r="O47" s="172"/>
    </row>
    <row r="48" spans="2:15" ht="15.6">
      <c r="B48" s="164">
        <f t="shared" si="11"/>
        <v>40</v>
      </c>
      <c r="C48" s="171">
        <f>POWER(1+Inputs!$R$7,B48)</f>
        <v>9.2530770468408683</v>
      </c>
      <c r="D48" s="27" t="e">
        <f t="shared" si="14"/>
        <v>#DIV/0!</v>
      </c>
      <c r="E48" s="27" t="e">
        <f t="shared" si="12"/>
        <v>#DIV/0!</v>
      </c>
      <c r="F48" s="48">
        <f>+-PMT(Inputs!$R$9,40,Inputs!$G$79)</f>
        <v>0</v>
      </c>
      <c r="G48" s="27">
        <f>Inputs!$G$79*0.015</f>
        <v>0</v>
      </c>
      <c r="H48" s="27" t="e">
        <f>+E48*Inputs!$R$8</f>
        <v>#DIV/0!</v>
      </c>
      <c r="I48" s="27">
        <f t="shared" si="0"/>
        <v>0</v>
      </c>
      <c r="J48" s="27" t="e">
        <f t="shared" si="1"/>
        <v>#DIV/0!</v>
      </c>
      <c r="K48" s="48">
        <f t="shared" si="3"/>
        <v>0</v>
      </c>
      <c r="L48" s="48" t="e">
        <f t="shared" si="4"/>
        <v>#DIV/0!</v>
      </c>
      <c r="M48" s="44" t="e">
        <f>D48/C48</f>
        <v>#DIV/0!</v>
      </c>
      <c r="O48" s="172"/>
    </row>
    <row r="49" spans="2:15">
      <c r="G49" s="173"/>
      <c r="H49" s="2"/>
      <c r="L49" s="174"/>
      <c r="M49" s="175"/>
    </row>
    <row r="50" spans="2:15" ht="15.6">
      <c r="F50" s="176">
        <f>SUM(F9:F48)</f>
        <v>0</v>
      </c>
      <c r="G50" s="161" t="s">
        <v>4</v>
      </c>
      <c r="H50" s="2"/>
      <c r="I50" s="5">
        <f>SUM(I9:I48)</f>
        <v>0</v>
      </c>
      <c r="J50" s="50" t="e">
        <f>SUM(J9:J48)</f>
        <v>#DIV/0!</v>
      </c>
      <c r="K50" s="48">
        <f>SUM(K9:K48)</f>
        <v>0</v>
      </c>
      <c r="L50" s="51" t="e">
        <f>SUM(L9:L48)</f>
        <v>#DIV/0!</v>
      </c>
      <c r="M50" s="24" t="e">
        <f>SUM(M9:M48)</f>
        <v>#DIV/0!</v>
      </c>
      <c r="O50" s="4"/>
    </row>
    <row r="51" spans="2:15">
      <c r="G51" s="173"/>
      <c r="H51" s="177"/>
      <c r="I51" s="174"/>
      <c r="L51" s="54"/>
      <c r="M51" s="55"/>
    </row>
    <row r="52" spans="2:15" ht="28.5" customHeight="1">
      <c r="G52" s="178" t="s">
        <v>1</v>
      </c>
      <c r="H52" s="179" t="e">
        <f>$L$50/$M$50</f>
        <v>#DIV/0!</v>
      </c>
      <c r="I52" s="174"/>
      <c r="L52" s="54"/>
      <c r="M52" s="55"/>
    </row>
    <row r="53" spans="2:15">
      <c r="G53" s="1"/>
      <c r="H53" s="2"/>
      <c r="L53" s="54"/>
      <c r="M53" s="55"/>
    </row>
    <row r="54" spans="2:15">
      <c r="G54" s="1"/>
      <c r="H54" s="2"/>
      <c r="L54" s="54"/>
      <c r="M54" s="55"/>
    </row>
    <row r="55" spans="2:15">
      <c r="B55" s="325"/>
      <c r="C55" s="325"/>
      <c r="D55" s="325"/>
      <c r="G55" s="1"/>
      <c r="H55" s="2"/>
      <c r="L55" s="54"/>
      <c r="M55" s="55"/>
    </row>
    <row r="56" spans="2:15">
      <c r="B56" s="325"/>
      <c r="C56" s="325"/>
      <c r="D56" s="325"/>
      <c r="G56" s="1"/>
      <c r="H56" s="2"/>
      <c r="L56" s="54"/>
      <c r="M56" s="55"/>
    </row>
    <row r="57" spans="2:15">
      <c r="G57" s="1"/>
      <c r="H57" s="2"/>
      <c r="L57" s="54"/>
      <c r="M57" s="55"/>
    </row>
  </sheetData>
  <sheetProtection algorithmName="SHA-512" hashValue="KHGAiKgtGlNfu2wpMVJdPcjKY3+tdj6QBTje7Ox8ALH06gbeaCCk3ZogjrCMkyvQ6IqSjazH4Y/pejMf6qg6VQ==" saltValue="ePfMrV57EkT6yl3smM3v3g==" spinCount="100000" sheet="1" formatColumns="0" formatRows="0"/>
  <customSheetViews>
    <customSheetView guid="{D2F5C913-3F22-4D51-B7FF-A5669D8F1AB9}" scale="70">
      <selection activeCell="E21" sqref="E21"/>
      <pageMargins left="0.78740157499999996" right="0.78740157499999996" top="0.984251969" bottom="0.984251969" header="0.4921259845" footer="0.4921259845"/>
      <pageSetup paperSize="9" orientation="portrait" horizontalDpi="300" verticalDpi="300" r:id="rId1"/>
      <headerFooter alignWithMargins="0"/>
    </customSheetView>
  </customSheetViews>
  <mergeCells count="8">
    <mergeCell ref="B55:D55"/>
    <mergeCell ref="B56:D56"/>
    <mergeCell ref="D5:G5"/>
    <mergeCell ref="B4:C4"/>
    <mergeCell ref="B1:M1"/>
    <mergeCell ref="B2:M2"/>
    <mergeCell ref="B3:M3"/>
    <mergeCell ref="D4:M4"/>
  </mergeCells>
  <phoneticPr fontId="0" type="noConversion"/>
  <pageMargins left="0.78740157499999996" right="0.78740157499999996" top="0.984251969" bottom="0.984251969" header="0.4921259845" footer="0.4921259845"/>
  <pageSetup paperSize="9" orientation="portrait" horizontalDpi="300" verticalDpi="300"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B2:S46"/>
  <sheetViews>
    <sheetView topLeftCell="A2" zoomScale="85" zoomScaleNormal="85" workbookViewId="0">
      <selection activeCell="C10" sqref="C10"/>
    </sheetView>
  </sheetViews>
  <sheetFormatPr baseColWidth="10" defaultColWidth="11.5546875" defaultRowHeight="14.4"/>
  <cols>
    <col min="1" max="1" width="11.44140625" style="8"/>
    <col min="2" max="2" width="85.5546875" style="8" customWidth="1"/>
    <col min="3" max="3" width="14.33203125" style="8" customWidth="1"/>
    <col min="4" max="4" width="24.44140625" style="8" customWidth="1"/>
    <col min="5" max="7" width="11.44140625" style="8"/>
    <col min="8" max="8" width="74.109375" style="8" customWidth="1"/>
    <col min="9" max="9" width="11.6640625" style="8" bestFit="1" customWidth="1"/>
    <col min="10" max="257" width="11.44140625" style="8"/>
    <col min="258" max="258" width="82.33203125" style="8" customWidth="1"/>
    <col min="259" max="259" width="11.44140625" style="8"/>
    <col min="260" max="260" width="22.6640625" style="8" customWidth="1"/>
    <col min="261" max="513" width="11.44140625" style="8"/>
    <col min="514" max="514" width="82.33203125" style="8" customWidth="1"/>
    <col min="515" max="515" width="11.44140625" style="8"/>
    <col min="516" max="516" width="22.6640625" style="8" customWidth="1"/>
    <col min="517" max="769" width="11.44140625" style="8"/>
    <col min="770" max="770" width="82.33203125" style="8" customWidth="1"/>
    <col min="771" max="771" width="11.44140625" style="8"/>
    <col min="772" max="772" width="22.6640625" style="8" customWidth="1"/>
    <col min="773" max="1025" width="11.44140625" style="8"/>
    <col min="1026" max="1026" width="82.33203125" style="8" customWidth="1"/>
    <col min="1027" max="1027" width="11.44140625" style="8"/>
    <col min="1028" max="1028" width="22.6640625" style="8" customWidth="1"/>
    <col min="1029" max="1281" width="11.44140625" style="8"/>
    <col min="1282" max="1282" width="82.33203125" style="8" customWidth="1"/>
    <col min="1283" max="1283" width="11.44140625" style="8"/>
    <col min="1284" max="1284" width="22.6640625" style="8" customWidth="1"/>
    <col min="1285" max="1537" width="11.44140625" style="8"/>
    <col min="1538" max="1538" width="82.33203125" style="8" customWidth="1"/>
    <col min="1539" max="1539" width="11.44140625" style="8"/>
    <col min="1540" max="1540" width="22.6640625" style="8" customWidth="1"/>
    <col min="1541" max="1793" width="11.44140625" style="8"/>
    <col min="1794" max="1794" width="82.33203125" style="8" customWidth="1"/>
    <col min="1795" max="1795" width="11.44140625" style="8"/>
    <col min="1796" max="1796" width="22.6640625" style="8" customWidth="1"/>
    <col min="1797" max="2049" width="11.44140625" style="8"/>
    <col min="2050" max="2050" width="82.33203125" style="8" customWidth="1"/>
    <col min="2051" max="2051" width="11.44140625" style="8"/>
    <col min="2052" max="2052" width="22.6640625" style="8" customWidth="1"/>
    <col min="2053" max="2305" width="11.44140625" style="8"/>
    <col min="2306" max="2306" width="82.33203125" style="8" customWidth="1"/>
    <col min="2307" max="2307" width="11.44140625" style="8"/>
    <col min="2308" max="2308" width="22.6640625" style="8" customWidth="1"/>
    <col min="2309" max="2561" width="11.44140625" style="8"/>
    <col min="2562" max="2562" width="82.33203125" style="8" customWidth="1"/>
    <col min="2563" max="2563" width="11.44140625" style="8"/>
    <col min="2564" max="2564" width="22.6640625" style="8" customWidth="1"/>
    <col min="2565" max="2817" width="11.44140625" style="8"/>
    <col min="2818" max="2818" width="82.33203125" style="8" customWidth="1"/>
    <col min="2819" max="2819" width="11.44140625" style="8"/>
    <col min="2820" max="2820" width="22.6640625" style="8" customWidth="1"/>
    <col min="2821" max="3073" width="11.44140625" style="8"/>
    <col min="3074" max="3074" width="82.33203125" style="8" customWidth="1"/>
    <col min="3075" max="3075" width="11.44140625" style="8"/>
    <col min="3076" max="3076" width="22.6640625" style="8" customWidth="1"/>
    <col min="3077" max="3329" width="11.44140625" style="8"/>
    <col min="3330" max="3330" width="82.33203125" style="8" customWidth="1"/>
    <col min="3331" max="3331" width="11.44140625" style="8"/>
    <col min="3332" max="3332" width="22.6640625" style="8" customWidth="1"/>
    <col min="3333" max="3585" width="11.44140625" style="8"/>
    <col min="3586" max="3586" width="82.33203125" style="8" customWidth="1"/>
    <col min="3587" max="3587" width="11.44140625" style="8"/>
    <col min="3588" max="3588" width="22.6640625" style="8" customWidth="1"/>
    <col min="3589" max="3841" width="11.44140625" style="8"/>
    <col min="3842" max="3842" width="82.33203125" style="8" customWidth="1"/>
    <col min="3843" max="3843" width="11.44140625" style="8"/>
    <col min="3844" max="3844" width="22.6640625" style="8" customWidth="1"/>
    <col min="3845" max="4097" width="11.44140625" style="8"/>
    <col min="4098" max="4098" width="82.33203125" style="8" customWidth="1"/>
    <col min="4099" max="4099" width="11.44140625" style="8"/>
    <col min="4100" max="4100" width="22.6640625" style="8" customWidth="1"/>
    <col min="4101" max="4353" width="11.44140625" style="8"/>
    <col min="4354" max="4354" width="82.33203125" style="8" customWidth="1"/>
    <col min="4355" max="4355" width="11.44140625" style="8"/>
    <col min="4356" max="4356" width="22.6640625" style="8" customWidth="1"/>
    <col min="4357" max="4609" width="11.44140625" style="8"/>
    <col min="4610" max="4610" width="82.33203125" style="8" customWidth="1"/>
    <col min="4611" max="4611" width="11.44140625" style="8"/>
    <col min="4612" max="4612" width="22.6640625" style="8" customWidth="1"/>
    <col min="4613" max="4865" width="11.44140625" style="8"/>
    <col min="4866" max="4866" width="82.33203125" style="8" customWidth="1"/>
    <col min="4867" max="4867" width="11.44140625" style="8"/>
    <col min="4868" max="4868" width="22.6640625" style="8" customWidth="1"/>
    <col min="4869" max="5121" width="11.44140625" style="8"/>
    <col min="5122" max="5122" width="82.33203125" style="8" customWidth="1"/>
    <col min="5123" max="5123" width="11.44140625" style="8"/>
    <col min="5124" max="5124" width="22.6640625" style="8" customWidth="1"/>
    <col min="5125" max="5377" width="11.44140625" style="8"/>
    <col min="5378" max="5378" width="82.33203125" style="8" customWidth="1"/>
    <col min="5379" max="5379" width="11.44140625" style="8"/>
    <col min="5380" max="5380" width="22.6640625" style="8" customWidth="1"/>
    <col min="5381" max="5633" width="11.44140625" style="8"/>
    <col min="5634" max="5634" width="82.33203125" style="8" customWidth="1"/>
    <col min="5635" max="5635" width="11.44140625" style="8"/>
    <col min="5636" max="5636" width="22.6640625" style="8" customWidth="1"/>
    <col min="5637" max="5889" width="11.44140625" style="8"/>
    <col min="5890" max="5890" width="82.33203125" style="8" customWidth="1"/>
    <col min="5891" max="5891" width="11.44140625" style="8"/>
    <col min="5892" max="5892" width="22.6640625" style="8" customWidth="1"/>
    <col min="5893" max="6145" width="11.44140625" style="8"/>
    <col min="6146" max="6146" width="82.33203125" style="8" customWidth="1"/>
    <col min="6147" max="6147" width="11.44140625" style="8"/>
    <col min="6148" max="6148" width="22.6640625" style="8" customWidth="1"/>
    <col min="6149" max="6401" width="11.44140625" style="8"/>
    <col min="6402" max="6402" width="82.33203125" style="8" customWidth="1"/>
    <col min="6403" max="6403" width="11.44140625" style="8"/>
    <col min="6404" max="6404" width="22.6640625" style="8" customWidth="1"/>
    <col min="6405" max="6657" width="11.44140625" style="8"/>
    <col min="6658" max="6658" width="82.33203125" style="8" customWidth="1"/>
    <col min="6659" max="6659" width="11.44140625" style="8"/>
    <col min="6660" max="6660" width="22.6640625" style="8" customWidth="1"/>
    <col min="6661" max="6913" width="11.44140625" style="8"/>
    <col min="6914" max="6914" width="82.33203125" style="8" customWidth="1"/>
    <col min="6915" max="6915" width="11.44140625" style="8"/>
    <col min="6916" max="6916" width="22.6640625" style="8" customWidth="1"/>
    <col min="6917" max="7169" width="11.44140625" style="8"/>
    <col min="7170" max="7170" width="82.33203125" style="8" customWidth="1"/>
    <col min="7171" max="7171" width="11.44140625" style="8"/>
    <col min="7172" max="7172" width="22.6640625" style="8" customWidth="1"/>
    <col min="7173" max="7425" width="11.44140625" style="8"/>
    <col min="7426" max="7426" width="82.33203125" style="8" customWidth="1"/>
    <col min="7427" max="7427" width="11.44140625" style="8"/>
    <col min="7428" max="7428" width="22.6640625" style="8" customWidth="1"/>
    <col min="7429" max="7681" width="11.44140625" style="8"/>
    <col min="7682" max="7682" width="82.33203125" style="8" customWidth="1"/>
    <col min="7683" max="7683" width="11.44140625" style="8"/>
    <col min="7684" max="7684" width="22.6640625" style="8" customWidth="1"/>
    <col min="7685" max="7937" width="11.44140625" style="8"/>
    <col min="7938" max="7938" width="82.33203125" style="8" customWidth="1"/>
    <col min="7939" max="7939" width="11.44140625" style="8"/>
    <col min="7940" max="7940" width="22.6640625" style="8" customWidth="1"/>
    <col min="7941" max="8193" width="11.44140625" style="8"/>
    <col min="8194" max="8194" width="82.33203125" style="8" customWidth="1"/>
    <col min="8195" max="8195" width="11.44140625" style="8"/>
    <col min="8196" max="8196" width="22.6640625" style="8" customWidth="1"/>
    <col min="8197" max="8449" width="11.44140625" style="8"/>
    <col min="8450" max="8450" width="82.33203125" style="8" customWidth="1"/>
    <col min="8451" max="8451" width="11.44140625" style="8"/>
    <col min="8452" max="8452" width="22.6640625" style="8" customWidth="1"/>
    <col min="8453" max="8705" width="11.44140625" style="8"/>
    <col min="8706" max="8706" width="82.33203125" style="8" customWidth="1"/>
    <col min="8707" max="8707" width="11.44140625" style="8"/>
    <col min="8708" max="8708" width="22.6640625" style="8" customWidth="1"/>
    <col min="8709" max="8961" width="11.44140625" style="8"/>
    <col min="8962" max="8962" width="82.33203125" style="8" customWidth="1"/>
    <col min="8963" max="8963" width="11.44140625" style="8"/>
    <col min="8964" max="8964" width="22.6640625" style="8" customWidth="1"/>
    <col min="8965" max="9217" width="11.44140625" style="8"/>
    <col min="9218" max="9218" width="82.33203125" style="8" customWidth="1"/>
    <col min="9219" max="9219" width="11.44140625" style="8"/>
    <col min="9220" max="9220" width="22.6640625" style="8" customWidth="1"/>
    <col min="9221" max="9473" width="11.44140625" style="8"/>
    <col min="9474" max="9474" width="82.33203125" style="8" customWidth="1"/>
    <col min="9475" max="9475" width="11.44140625" style="8"/>
    <col min="9476" max="9476" width="22.6640625" style="8" customWidth="1"/>
    <col min="9477" max="9729" width="11.44140625" style="8"/>
    <col min="9730" max="9730" width="82.33203125" style="8" customWidth="1"/>
    <col min="9731" max="9731" width="11.44140625" style="8"/>
    <col min="9732" max="9732" width="22.6640625" style="8" customWidth="1"/>
    <col min="9733" max="9985" width="11.44140625" style="8"/>
    <col min="9986" max="9986" width="82.33203125" style="8" customWidth="1"/>
    <col min="9987" max="9987" width="11.44140625" style="8"/>
    <col min="9988" max="9988" width="22.6640625" style="8" customWidth="1"/>
    <col min="9989" max="10241" width="11.44140625" style="8"/>
    <col min="10242" max="10242" width="82.33203125" style="8" customWidth="1"/>
    <col min="10243" max="10243" width="11.44140625" style="8"/>
    <col min="10244" max="10244" width="22.6640625" style="8" customWidth="1"/>
    <col min="10245" max="10497" width="11.44140625" style="8"/>
    <col min="10498" max="10498" width="82.33203125" style="8" customWidth="1"/>
    <col min="10499" max="10499" width="11.44140625" style="8"/>
    <col min="10500" max="10500" width="22.6640625" style="8" customWidth="1"/>
    <col min="10501" max="10753" width="11.44140625" style="8"/>
    <col min="10754" max="10754" width="82.33203125" style="8" customWidth="1"/>
    <col min="10755" max="10755" width="11.44140625" style="8"/>
    <col min="10756" max="10756" width="22.6640625" style="8" customWidth="1"/>
    <col min="10757" max="11009" width="11.44140625" style="8"/>
    <col min="11010" max="11010" width="82.33203125" style="8" customWidth="1"/>
    <col min="11011" max="11011" width="11.44140625" style="8"/>
    <col min="11012" max="11012" width="22.6640625" style="8" customWidth="1"/>
    <col min="11013" max="11265" width="11.44140625" style="8"/>
    <col min="11266" max="11266" width="82.33203125" style="8" customWidth="1"/>
    <col min="11267" max="11267" width="11.44140625" style="8"/>
    <col min="11268" max="11268" width="22.6640625" style="8" customWidth="1"/>
    <col min="11269" max="11521" width="11.44140625" style="8"/>
    <col min="11522" max="11522" width="82.33203125" style="8" customWidth="1"/>
    <col min="11523" max="11523" width="11.44140625" style="8"/>
    <col min="11524" max="11524" width="22.6640625" style="8" customWidth="1"/>
    <col min="11525" max="11777" width="11.44140625" style="8"/>
    <col min="11778" max="11778" width="82.33203125" style="8" customWidth="1"/>
    <col min="11779" max="11779" width="11.44140625" style="8"/>
    <col min="11780" max="11780" width="22.6640625" style="8" customWidth="1"/>
    <col min="11781" max="12033" width="11.44140625" style="8"/>
    <col min="12034" max="12034" width="82.33203125" style="8" customWidth="1"/>
    <col min="12035" max="12035" width="11.44140625" style="8"/>
    <col min="12036" max="12036" width="22.6640625" style="8" customWidth="1"/>
    <col min="12037" max="12289" width="11.44140625" style="8"/>
    <col min="12290" max="12290" width="82.33203125" style="8" customWidth="1"/>
    <col min="12291" max="12291" width="11.44140625" style="8"/>
    <col min="12292" max="12292" width="22.6640625" style="8" customWidth="1"/>
    <col min="12293" max="12545" width="11.44140625" style="8"/>
    <col min="12546" max="12546" width="82.33203125" style="8" customWidth="1"/>
    <col min="12547" max="12547" width="11.44140625" style="8"/>
    <col min="12548" max="12548" width="22.6640625" style="8" customWidth="1"/>
    <col min="12549" max="12801" width="11.44140625" style="8"/>
    <col min="12802" max="12802" width="82.33203125" style="8" customWidth="1"/>
    <col min="12803" max="12803" width="11.44140625" style="8"/>
    <col min="12804" max="12804" width="22.6640625" style="8" customWidth="1"/>
    <col min="12805" max="13057" width="11.44140625" style="8"/>
    <col min="13058" max="13058" width="82.33203125" style="8" customWidth="1"/>
    <col min="13059" max="13059" width="11.44140625" style="8"/>
    <col min="13060" max="13060" width="22.6640625" style="8" customWidth="1"/>
    <col min="13061" max="13313" width="11.44140625" style="8"/>
    <col min="13314" max="13314" width="82.33203125" style="8" customWidth="1"/>
    <col min="13315" max="13315" width="11.44140625" style="8"/>
    <col min="13316" max="13316" width="22.6640625" style="8" customWidth="1"/>
    <col min="13317" max="13569" width="11.44140625" style="8"/>
    <col min="13570" max="13570" width="82.33203125" style="8" customWidth="1"/>
    <col min="13571" max="13571" width="11.44140625" style="8"/>
    <col min="13572" max="13572" width="22.6640625" style="8" customWidth="1"/>
    <col min="13573" max="13825" width="11.44140625" style="8"/>
    <col min="13826" max="13826" width="82.33203125" style="8" customWidth="1"/>
    <col min="13827" max="13827" width="11.44140625" style="8"/>
    <col min="13828" max="13828" width="22.6640625" style="8" customWidth="1"/>
    <col min="13829" max="14081" width="11.44140625" style="8"/>
    <col min="14082" max="14082" width="82.33203125" style="8" customWidth="1"/>
    <col min="14083" max="14083" width="11.44140625" style="8"/>
    <col min="14084" max="14084" width="22.6640625" style="8" customWidth="1"/>
    <col min="14085" max="14337" width="11.44140625" style="8"/>
    <col min="14338" max="14338" width="82.33203125" style="8" customWidth="1"/>
    <col min="14339" max="14339" width="11.44140625" style="8"/>
    <col min="14340" max="14340" width="22.6640625" style="8" customWidth="1"/>
    <col min="14341" max="14593" width="11.44140625" style="8"/>
    <col min="14594" max="14594" width="82.33203125" style="8" customWidth="1"/>
    <col min="14595" max="14595" width="11.44140625" style="8"/>
    <col min="14596" max="14596" width="22.6640625" style="8" customWidth="1"/>
    <col min="14597" max="14849" width="11.44140625" style="8"/>
    <col min="14850" max="14850" width="82.33203125" style="8" customWidth="1"/>
    <col min="14851" max="14851" width="11.44140625" style="8"/>
    <col min="14852" max="14852" width="22.6640625" style="8" customWidth="1"/>
    <col min="14853" max="15105" width="11.44140625" style="8"/>
    <col min="15106" max="15106" width="82.33203125" style="8" customWidth="1"/>
    <col min="15107" max="15107" width="11.44140625" style="8"/>
    <col min="15108" max="15108" width="22.6640625" style="8" customWidth="1"/>
    <col min="15109" max="15361" width="11.44140625" style="8"/>
    <col min="15362" max="15362" width="82.33203125" style="8" customWidth="1"/>
    <col min="15363" max="15363" width="11.44140625" style="8"/>
    <col min="15364" max="15364" width="22.6640625" style="8" customWidth="1"/>
    <col min="15365" max="15617" width="11.44140625" style="8"/>
    <col min="15618" max="15618" width="82.33203125" style="8" customWidth="1"/>
    <col min="15619" max="15619" width="11.44140625" style="8"/>
    <col min="15620" max="15620" width="22.6640625" style="8" customWidth="1"/>
    <col min="15621" max="15873" width="11.44140625" style="8"/>
    <col min="15874" max="15874" width="82.33203125" style="8" customWidth="1"/>
    <col min="15875" max="15875" width="11.44140625" style="8"/>
    <col min="15876" max="15876" width="22.6640625" style="8" customWidth="1"/>
    <col min="15877" max="16129" width="11.44140625" style="8"/>
    <col min="16130" max="16130" width="82.33203125" style="8" customWidth="1"/>
    <col min="16131" max="16131" width="11.44140625" style="8"/>
    <col min="16132" max="16132" width="22.6640625" style="8" customWidth="1"/>
    <col min="16133" max="16384" width="11.44140625" style="8"/>
  </cols>
  <sheetData>
    <row r="2" spans="2:19" ht="18">
      <c r="B2" s="334" t="s">
        <v>18</v>
      </c>
      <c r="C2" s="335"/>
      <c r="H2" s="14"/>
      <c r="R2" s="18"/>
      <c r="S2" s="18"/>
    </row>
    <row r="3" spans="2:19">
      <c r="J3" s="18"/>
      <c r="R3" s="18"/>
      <c r="S3" s="18"/>
    </row>
    <row r="4" spans="2:19">
      <c r="H4" s="338"/>
      <c r="I4" s="339"/>
      <c r="J4" s="19"/>
      <c r="K4" s="18"/>
    </row>
    <row r="5" spans="2:19" ht="18">
      <c r="B5" s="180" t="s">
        <v>22</v>
      </c>
      <c r="H5" s="338"/>
      <c r="I5" s="339"/>
      <c r="J5" s="19"/>
      <c r="K5" s="18"/>
    </row>
    <row r="6" spans="2:19">
      <c r="K6" s="18"/>
    </row>
    <row r="7" spans="2:19">
      <c r="K7" s="18"/>
    </row>
    <row r="8" spans="2:19" ht="15.6">
      <c r="B8" s="181" t="s">
        <v>20</v>
      </c>
      <c r="C8" s="182" t="s">
        <v>21</v>
      </c>
      <c r="D8" s="183"/>
      <c r="H8" s="15"/>
      <c r="I8"/>
      <c r="J8"/>
      <c r="K8" s="18"/>
    </row>
    <row r="9" spans="2:19" ht="18">
      <c r="B9" s="184" t="s">
        <v>138</v>
      </c>
      <c r="C9" s="185">
        <v>254</v>
      </c>
      <c r="D9" s="183"/>
      <c r="H9" s="15"/>
      <c r="I9"/>
      <c r="J9"/>
      <c r="K9" s="18"/>
    </row>
    <row r="10" spans="2:19" ht="16.2">
      <c r="B10" s="184" t="s">
        <v>139</v>
      </c>
      <c r="C10" s="186">
        <f>+'Tableaux I'!G14</f>
        <v>0</v>
      </c>
      <c r="D10" s="183"/>
      <c r="H10" s="15"/>
      <c r="I10"/>
      <c r="J10"/>
    </row>
    <row r="11" spans="2:19" ht="18">
      <c r="B11" s="184" t="s">
        <v>156</v>
      </c>
      <c r="C11" s="187">
        <f>C9-C10</f>
        <v>254</v>
      </c>
      <c r="D11" s="183"/>
      <c r="K11" s="20"/>
    </row>
    <row r="12" spans="2:19" ht="15.6">
      <c r="B12" s="184" t="s">
        <v>98</v>
      </c>
      <c r="C12" s="185">
        <f>+Inputs!C27</f>
        <v>80</v>
      </c>
      <c r="D12" s="183"/>
      <c r="K12" s="20"/>
    </row>
    <row r="13" spans="2:19" ht="18">
      <c r="B13" s="184" t="s">
        <v>140</v>
      </c>
      <c r="C13" s="185">
        <f>998*9.795*C12*C11/1000</f>
        <v>198636.33120000002</v>
      </c>
      <c r="D13" s="183"/>
      <c r="K13" s="20"/>
    </row>
    <row r="14" spans="2:19" ht="18">
      <c r="B14" s="188" t="s">
        <v>141</v>
      </c>
      <c r="C14" s="186">
        <f>+'Tableaux II'!H16</f>
        <v>0</v>
      </c>
      <c r="D14" s="189"/>
      <c r="K14" s="20"/>
    </row>
    <row r="15" spans="2:19" ht="18">
      <c r="B15" s="190" t="s">
        <v>142</v>
      </c>
      <c r="C15" s="186">
        <f>C13*C14</f>
        <v>0</v>
      </c>
      <c r="D15" s="189"/>
      <c r="K15" s="20"/>
    </row>
    <row r="16" spans="2:19" ht="18">
      <c r="B16" s="191" t="s">
        <v>99</v>
      </c>
      <c r="C16" s="186">
        <f>+'Tableaux III'!J15</f>
        <v>0</v>
      </c>
      <c r="D16" s="189"/>
      <c r="K16" s="20"/>
    </row>
    <row r="17" spans="2:13" ht="16.2">
      <c r="B17" s="192" t="s">
        <v>143</v>
      </c>
      <c r="C17" s="185">
        <f>C15*C16</f>
        <v>0</v>
      </c>
      <c r="D17" s="189"/>
      <c r="K17" s="20"/>
    </row>
    <row r="18" spans="2:13" ht="18">
      <c r="B18" s="184" t="s">
        <v>100</v>
      </c>
      <c r="C18" s="185">
        <f>+'Tableaux IV'!G55</f>
        <v>0</v>
      </c>
      <c r="D18" s="189"/>
      <c r="E18" s="336"/>
      <c r="F18" s="337"/>
      <c r="G18" s="337"/>
      <c r="K18" s="20"/>
    </row>
    <row r="19" spans="2:13" ht="16.2">
      <c r="B19" s="193" t="s">
        <v>152</v>
      </c>
      <c r="C19" s="185">
        <f>C17-C18</f>
        <v>0</v>
      </c>
      <c r="D19" s="189"/>
      <c r="K19" s="20"/>
    </row>
    <row r="20" spans="2:13" ht="18">
      <c r="B20" s="191" t="s">
        <v>101</v>
      </c>
      <c r="C20" s="186" t="e">
        <f>+'Tableaux V'!G18</f>
        <v>#DIV/0!</v>
      </c>
      <c r="D20" s="189"/>
      <c r="K20" s="20"/>
    </row>
    <row r="21" spans="2:13" ht="16.2">
      <c r="B21" s="184" t="s">
        <v>153</v>
      </c>
      <c r="C21" s="185" t="e">
        <f>C19*C20</f>
        <v>#DIV/0!</v>
      </c>
      <c r="K21" s="20"/>
    </row>
    <row r="22" spans="2:13" ht="18">
      <c r="B22" s="184" t="s">
        <v>102</v>
      </c>
      <c r="C22" s="185">
        <v>1680</v>
      </c>
      <c r="D22" s="183"/>
      <c r="K22" s="20"/>
    </row>
    <row r="23" spans="2:13" ht="18">
      <c r="B23" s="184" t="s">
        <v>151</v>
      </c>
      <c r="C23" s="185" t="e">
        <f>C21*C22</f>
        <v>#DIV/0!</v>
      </c>
    </row>
    <row r="24" spans="2:13" ht="18">
      <c r="B24" s="194" t="s">
        <v>103</v>
      </c>
      <c r="C24" s="185" t="e">
        <f>C23*2</f>
        <v>#DIV/0!</v>
      </c>
      <c r="D24" s="195" t="s">
        <v>97</v>
      </c>
    </row>
    <row r="28" spans="2:13" ht="18">
      <c r="B28" s="180" t="s">
        <v>19</v>
      </c>
    </row>
    <row r="30" spans="2:13" ht="15.6">
      <c r="B30" s="182" t="s">
        <v>20</v>
      </c>
      <c r="C30" s="182" t="s">
        <v>21</v>
      </c>
      <c r="K30" s="16"/>
      <c r="M30" s="17"/>
    </row>
    <row r="31" spans="2:13" ht="18">
      <c r="B31" s="194" t="s">
        <v>144</v>
      </c>
      <c r="C31" s="185">
        <f>Inputs!O27</f>
        <v>254</v>
      </c>
    </row>
    <row r="32" spans="2:13" ht="16.2">
      <c r="B32" s="184" t="s">
        <v>139</v>
      </c>
      <c r="C32" s="186">
        <f>+'Tableaux I'!G29</f>
        <v>0</v>
      </c>
    </row>
    <row r="33" spans="2:4" ht="18">
      <c r="B33" s="194" t="s">
        <v>145</v>
      </c>
      <c r="C33" s="187">
        <f>C31+C32</f>
        <v>254</v>
      </c>
    </row>
    <row r="34" spans="2:4" ht="18">
      <c r="B34" s="184" t="s">
        <v>146</v>
      </c>
      <c r="C34" s="185">
        <f>Inputs!P27</f>
        <v>0</v>
      </c>
    </row>
    <row r="35" spans="2:4" ht="16.2">
      <c r="B35" s="194" t="s">
        <v>147</v>
      </c>
      <c r="C35" s="185">
        <f>998*9.795*C34*C33/1000</f>
        <v>0</v>
      </c>
    </row>
    <row r="36" spans="2:4" ht="18">
      <c r="B36" s="196" t="s">
        <v>104</v>
      </c>
      <c r="C36" s="197">
        <f>+'Tableaux II'!H32</f>
        <v>0</v>
      </c>
    </row>
    <row r="37" spans="2:4" ht="18">
      <c r="B37" s="190" t="s">
        <v>148</v>
      </c>
      <c r="C37" s="186" t="e">
        <f>C35/C36</f>
        <v>#DIV/0!</v>
      </c>
    </row>
    <row r="38" spans="2:4" ht="15.6">
      <c r="B38" s="198" t="s">
        <v>246</v>
      </c>
      <c r="C38" s="199">
        <f>+'Tableaux III'!J31</f>
        <v>0</v>
      </c>
    </row>
    <row r="39" spans="2:4" ht="16.2">
      <c r="B39" s="190" t="s">
        <v>149</v>
      </c>
      <c r="C39" s="200" t="e">
        <f>C37/C38</f>
        <v>#DIV/0!</v>
      </c>
    </row>
    <row r="40" spans="2:4" ht="18">
      <c r="B40" s="196" t="s">
        <v>105</v>
      </c>
      <c r="C40" s="200">
        <f>+'Tableaux IV'!G55</f>
        <v>0</v>
      </c>
    </row>
    <row r="41" spans="2:4" ht="18">
      <c r="B41" s="196" t="s">
        <v>150</v>
      </c>
      <c r="C41" s="200" t="e">
        <f>C39+C40</f>
        <v>#DIV/0!</v>
      </c>
    </row>
    <row r="42" spans="2:4" ht="18">
      <c r="B42" s="196" t="s">
        <v>106</v>
      </c>
      <c r="C42" s="199" t="e">
        <f>+'Tableaux V'!G36</f>
        <v>#DIV/0!</v>
      </c>
    </row>
    <row r="43" spans="2:4" ht="16.2">
      <c r="B43" s="194" t="s">
        <v>154</v>
      </c>
      <c r="C43" s="185" t="e">
        <f>C41/C42</f>
        <v>#DIV/0!</v>
      </c>
    </row>
    <row r="44" spans="2:4" ht="18">
      <c r="B44" s="194" t="s">
        <v>107</v>
      </c>
      <c r="C44" s="185">
        <v>2352</v>
      </c>
      <c r="D44" s="201"/>
    </row>
    <row r="45" spans="2:4" ht="16.2">
      <c r="B45" s="194" t="s">
        <v>155</v>
      </c>
      <c r="C45" s="185" t="e">
        <f>C43*C44</f>
        <v>#DIV/0!</v>
      </c>
      <c r="D45" s="202"/>
    </row>
    <row r="46" spans="2:4" ht="18">
      <c r="B46" s="194" t="s">
        <v>108</v>
      </c>
      <c r="C46" s="185" t="e">
        <f>C45*2</f>
        <v>#DIV/0!</v>
      </c>
      <c r="D46" s="203" t="s">
        <v>96</v>
      </c>
    </row>
  </sheetData>
  <sheetProtection algorithmName="SHA-512" hashValue="Lrwfn4xhkn5sxrQblo5oe30oibFbv9Xlux+pFayz0K0UJe9NEPrZqxp1M+1x7xM03i0PA0gZCFGBUO0B64IKjQ==" saltValue="UUhMX5BH2kULH2tiTMuhBA==" spinCount="100000" sheet="1" formatColumns="0" formatRows="0"/>
  <mergeCells count="4">
    <mergeCell ref="B2:C2"/>
    <mergeCell ref="E18:G18"/>
    <mergeCell ref="H4:H5"/>
    <mergeCell ref="I4:I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499984740745262"/>
  </sheetPr>
  <dimension ref="C1:I30"/>
  <sheetViews>
    <sheetView showGridLines="0" topLeftCell="A4" zoomScaleNormal="100" workbookViewId="0">
      <selection activeCell="G14" sqref="G14"/>
    </sheetView>
  </sheetViews>
  <sheetFormatPr baseColWidth="10" defaultColWidth="11.5546875" defaultRowHeight="14.4"/>
  <cols>
    <col min="1" max="2" width="11.5546875" style="8"/>
    <col min="3" max="3" width="12.33203125" style="8" customWidth="1"/>
    <col min="4" max="4" width="11.33203125" style="8" customWidth="1"/>
    <col min="5" max="5" width="43.5546875" style="8" customWidth="1"/>
    <col min="6" max="258" width="11.44140625" style="8"/>
    <col min="259" max="259" width="12.33203125" style="8" customWidth="1"/>
    <col min="260" max="260" width="11.33203125" style="8" customWidth="1"/>
    <col min="261" max="261" width="39.5546875" style="8" customWidth="1"/>
    <col min="262" max="514" width="11.44140625" style="8"/>
    <col min="515" max="515" width="12.33203125" style="8" customWidth="1"/>
    <col min="516" max="516" width="11.33203125" style="8" customWidth="1"/>
    <col min="517" max="517" width="39.5546875" style="8" customWidth="1"/>
    <col min="518" max="770" width="11.44140625" style="8"/>
    <col min="771" max="771" width="12.33203125" style="8" customWidth="1"/>
    <col min="772" max="772" width="11.33203125" style="8" customWidth="1"/>
    <col min="773" max="773" width="39.5546875" style="8" customWidth="1"/>
    <col min="774" max="1026" width="11.44140625" style="8"/>
    <col min="1027" max="1027" width="12.33203125" style="8" customWidth="1"/>
    <col min="1028" max="1028" width="11.33203125" style="8" customWidth="1"/>
    <col min="1029" max="1029" width="39.5546875" style="8" customWidth="1"/>
    <col min="1030" max="1282" width="11.44140625" style="8"/>
    <col min="1283" max="1283" width="12.33203125" style="8" customWidth="1"/>
    <col min="1284" max="1284" width="11.33203125" style="8" customWidth="1"/>
    <col min="1285" max="1285" width="39.5546875" style="8" customWidth="1"/>
    <col min="1286" max="1538" width="11.44140625" style="8"/>
    <col min="1539" max="1539" width="12.33203125" style="8" customWidth="1"/>
    <col min="1540" max="1540" width="11.33203125" style="8" customWidth="1"/>
    <col min="1541" max="1541" width="39.5546875" style="8" customWidth="1"/>
    <col min="1542" max="1794" width="11.44140625" style="8"/>
    <col min="1795" max="1795" width="12.33203125" style="8" customWidth="1"/>
    <col min="1796" max="1796" width="11.33203125" style="8" customWidth="1"/>
    <col min="1797" max="1797" width="39.5546875" style="8" customWidth="1"/>
    <col min="1798" max="2050" width="11.44140625" style="8"/>
    <col min="2051" max="2051" width="12.33203125" style="8" customWidth="1"/>
    <col min="2052" max="2052" width="11.33203125" style="8" customWidth="1"/>
    <col min="2053" max="2053" width="39.5546875" style="8" customWidth="1"/>
    <col min="2054" max="2306" width="11.44140625" style="8"/>
    <col min="2307" max="2307" width="12.33203125" style="8" customWidth="1"/>
    <col min="2308" max="2308" width="11.33203125" style="8" customWidth="1"/>
    <col min="2309" max="2309" width="39.5546875" style="8" customWidth="1"/>
    <col min="2310" max="2562" width="11.44140625" style="8"/>
    <col min="2563" max="2563" width="12.33203125" style="8" customWidth="1"/>
    <col min="2564" max="2564" width="11.33203125" style="8" customWidth="1"/>
    <col min="2565" max="2565" width="39.5546875" style="8" customWidth="1"/>
    <col min="2566" max="2818" width="11.44140625" style="8"/>
    <col min="2819" max="2819" width="12.33203125" style="8" customWidth="1"/>
    <col min="2820" max="2820" width="11.33203125" style="8" customWidth="1"/>
    <col min="2821" max="2821" width="39.5546875" style="8" customWidth="1"/>
    <col min="2822" max="3074" width="11.44140625" style="8"/>
    <col min="3075" max="3075" width="12.33203125" style="8" customWidth="1"/>
    <col min="3076" max="3076" width="11.33203125" style="8" customWidth="1"/>
    <col min="3077" max="3077" width="39.5546875" style="8" customWidth="1"/>
    <col min="3078" max="3330" width="11.44140625" style="8"/>
    <col min="3331" max="3331" width="12.33203125" style="8" customWidth="1"/>
    <col min="3332" max="3332" width="11.33203125" style="8" customWidth="1"/>
    <col min="3333" max="3333" width="39.5546875" style="8" customWidth="1"/>
    <col min="3334" max="3586" width="11.44140625" style="8"/>
    <col min="3587" max="3587" width="12.33203125" style="8" customWidth="1"/>
    <col min="3588" max="3588" width="11.33203125" style="8" customWidth="1"/>
    <col min="3589" max="3589" width="39.5546875" style="8" customWidth="1"/>
    <col min="3590" max="3842" width="11.44140625" style="8"/>
    <col min="3843" max="3843" width="12.33203125" style="8" customWidth="1"/>
    <col min="3844" max="3844" width="11.33203125" style="8" customWidth="1"/>
    <col min="3845" max="3845" width="39.5546875" style="8" customWidth="1"/>
    <col min="3846" max="4098" width="11.44140625" style="8"/>
    <col min="4099" max="4099" width="12.33203125" style="8" customWidth="1"/>
    <col min="4100" max="4100" width="11.33203125" style="8" customWidth="1"/>
    <col min="4101" max="4101" width="39.5546875" style="8" customWidth="1"/>
    <col min="4102" max="4354" width="11.44140625" style="8"/>
    <col min="4355" max="4355" width="12.33203125" style="8" customWidth="1"/>
    <col min="4356" max="4356" width="11.33203125" style="8" customWidth="1"/>
    <col min="4357" max="4357" width="39.5546875" style="8" customWidth="1"/>
    <col min="4358" max="4610" width="11.44140625" style="8"/>
    <col min="4611" max="4611" width="12.33203125" style="8" customWidth="1"/>
    <col min="4612" max="4612" width="11.33203125" style="8" customWidth="1"/>
    <col min="4613" max="4613" width="39.5546875" style="8" customWidth="1"/>
    <col min="4614" max="4866" width="11.44140625" style="8"/>
    <col min="4867" max="4867" width="12.33203125" style="8" customWidth="1"/>
    <col min="4868" max="4868" width="11.33203125" style="8" customWidth="1"/>
    <col min="4869" max="4869" width="39.5546875" style="8" customWidth="1"/>
    <col min="4870" max="5122" width="11.44140625" style="8"/>
    <col min="5123" max="5123" width="12.33203125" style="8" customWidth="1"/>
    <col min="5124" max="5124" width="11.33203125" style="8" customWidth="1"/>
    <col min="5125" max="5125" width="39.5546875" style="8" customWidth="1"/>
    <col min="5126" max="5378" width="11.44140625" style="8"/>
    <col min="5379" max="5379" width="12.33203125" style="8" customWidth="1"/>
    <col min="5380" max="5380" width="11.33203125" style="8" customWidth="1"/>
    <col min="5381" max="5381" width="39.5546875" style="8" customWidth="1"/>
    <col min="5382" max="5634" width="11.44140625" style="8"/>
    <col min="5635" max="5635" width="12.33203125" style="8" customWidth="1"/>
    <col min="5636" max="5636" width="11.33203125" style="8" customWidth="1"/>
    <col min="5637" max="5637" width="39.5546875" style="8" customWidth="1"/>
    <col min="5638" max="5890" width="11.44140625" style="8"/>
    <col min="5891" max="5891" width="12.33203125" style="8" customWidth="1"/>
    <col min="5892" max="5892" width="11.33203125" style="8" customWidth="1"/>
    <col min="5893" max="5893" width="39.5546875" style="8" customWidth="1"/>
    <col min="5894" max="6146" width="11.44140625" style="8"/>
    <col min="6147" max="6147" width="12.33203125" style="8" customWidth="1"/>
    <col min="6148" max="6148" width="11.33203125" style="8" customWidth="1"/>
    <col min="6149" max="6149" width="39.5546875" style="8" customWidth="1"/>
    <col min="6150" max="6402" width="11.44140625" style="8"/>
    <col min="6403" max="6403" width="12.33203125" style="8" customWidth="1"/>
    <col min="6404" max="6404" width="11.33203125" style="8" customWidth="1"/>
    <col min="6405" max="6405" width="39.5546875" style="8" customWidth="1"/>
    <col min="6406" max="6658" width="11.44140625" style="8"/>
    <col min="6659" max="6659" width="12.33203125" style="8" customWidth="1"/>
    <col min="6660" max="6660" width="11.33203125" style="8" customWidth="1"/>
    <col min="6661" max="6661" width="39.5546875" style="8" customWidth="1"/>
    <col min="6662" max="6914" width="11.44140625" style="8"/>
    <col min="6915" max="6915" width="12.33203125" style="8" customWidth="1"/>
    <col min="6916" max="6916" width="11.33203125" style="8" customWidth="1"/>
    <col min="6917" max="6917" width="39.5546875" style="8" customWidth="1"/>
    <col min="6918" max="7170" width="11.44140625" style="8"/>
    <col min="7171" max="7171" width="12.33203125" style="8" customWidth="1"/>
    <col min="7172" max="7172" width="11.33203125" style="8" customWidth="1"/>
    <col min="7173" max="7173" width="39.5546875" style="8" customWidth="1"/>
    <col min="7174" max="7426" width="11.44140625" style="8"/>
    <col min="7427" max="7427" width="12.33203125" style="8" customWidth="1"/>
    <col min="7428" max="7428" width="11.33203125" style="8" customWidth="1"/>
    <col min="7429" max="7429" width="39.5546875" style="8" customWidth="1"/>
    <col min="7430" max="7682" width="11.44140625" style="8"/>
    <col min="7683" max="7683" width="12.33203125" style="8" customWidth="1"/>
    <col min="7684" max="7684" width="11.33203125" style="8" customWidth="1"/>
    <col min="7685" max="7685" width="39.5546875" style="8" customWidth="1"/>
    <col min="7686" max="7938" width="11.44140625" style="8"/>
    <col min="7939" max="7939" width="12.33203125" style="8" customWidth="1"/>
    <col min="7940" max="7940" width="11.33203125" style="8" customWidth="1"/>
    <col min="7941" max="7941" width="39.5546875" style="8" customWidth="1"/>
    <col min="7942" max="8194" width="11.44140625" style="8"/>
    <col min="8195" max="8195" width="12.33203125" style="8" customWidth="1"/>
    <col min="8196" max="8196" width="11.33203125" style="8" customWidth="1"/>
    <col min="8197" max="8197" width="39.5546875" style="8" customWidth="1"/>
    <col min="8198" max="8450" width="11.44140625" style="8"/>
    <col min="8451" max="8451" width="12.33203125" style="8" customWidth="1"/>
    <col min="8452" max="8452" width="11.33203125" style="8" customWidth="1"/>
    <col min="8453" max="8453" width="39.5546875" style="8" customWidth="1"/>
    <col min="8454" max="8706" width="11.44140625" style="8"/>
    <col min="8707" max="8707" width="12.33203125" style="8" customWidth="1"/>
    <col min="8708" max="8708" width="11.33203125" style="8" customWidth="1"/>
    <col min="8709" max="8709" width="39.5546875" style="8" customWidth="1"/>
    <col min="8710" max="8962" width="11.44140625" style="8"/>
    <col min="8963" max="8963" width="12.33203125" style="8" customWidth="1"/>
    <col min="8964" max="8964" width="11.33203125" style="8" customWidth="1"/>
    <col min="8965" max="8965" width="39.5546875" style="8" customWidth="1"/>
    <col min="8966" max="9218" width="11.44140625" style="8"/>
    <col min="9219" max="9219" width="12.33203125" style="8" customWidth="1"/>
    <col min="9220" max="9220" width="11.33203125" style="8" customWidth="1"/>
    <col min="9221" max="9221" width="39.5546875" style="8" customWidth="1"/>
    <col min="9222" max="9474" width="11.44140625" style="8"/>
    <col min="9475" max="9475" width="12.33203125" style="8" customWidth="1"/>
    <col min="9476" max="9476" width="11.33203125" style="8" customWidth="1"/>
    <col min="9477" max="9477" width="39.5546875" style="8" customWidth="1"/>
    <col min="9478" max="9730" width="11.44140625" style="8"/>
    <col min="9731" max="9731" width="12.33203125" style="8" customWidth="1"/>
    <col min="9732" max="9732" width="11.33203125" style="8" customWidth="1"/>
    <col min="9733" max="9733" width="39.5546875" style="8" customWidth="1"/>
    <col min="9734" max="9986" width="11.44140625" style="8"/>
    <col min="9987" max="9987" width="12.33203125" style="8" customWidth="1"/>
    <col min="9988" max="9988" width="11.33203125" style="8" customWidth="1"/>
    <col min="9989" max="9989" width="39.5546875" style="8" customWidth="1"/>
    <col min="9990" max="10242" width="11.44140625" style="8"/>
    <col min="10243" max="10243" width="12.33203125" style="8" customWidth="1"/>
    <col min="10244" max="10244" width="11.33203125" style="8" customWidth="1"/>
    <col min="10245" max="10245" width="39.5546875" style="8" customWidth="1"/>
    <col min="10246" max="10498" width="11.44140625" style="8"/>
    <col min="10499" max="10499" width="12.33203125" style="8" customWidth="1"/>
    <col min="10500" max="10500" width="11.33203125" style="8" customWidth="1"/>
    <col min="10501" max="10501" width="39.5546875" style="8" customWidth="1"/>
    <col min="10502" max="10754" width="11.44140625" style="8"/>
    <col min="10755" max="10755" width="12.33203125" style="8" customWidth="1"/>
    <col min="10756" max="10756" width="11.33203125" style="8" customWidth="1"/>
    <col min="10757" max="10757" width="39.5546875" style="8" customWidth="1"/>
    <col min="10758" max="11010" width="11.44140625" style="8"/>
    <col min="11011" max="11011" width="12.33203125" style="8" customWidth="1"/>
    <col min="11012" max="11012" width="11.33203125" style="8" customWidth="1"/>
    <col min="11013" max="11013" width="39.5546875" style="8" customWidth="1"/>
    <col min="11014" max="11266" width="11.44140625" style="8"/>
    <col min="11267" max="11267" width="12.33203125" style="8" customWidth="1"/>
    <col min="11268" max="11268" width="11.33203125" style="8" customWidth="1"/>
    <col min="11269" max="11269" width="39.5546875" style="8" customWidth="1"/>
    <col min="11270" max="11522" width="11.44140625" style="8"/>
    <col min="11523" max="11523" width="12.33203125" style="8" customWidth="1"/>
    <col min="11524" max="11524" width="11.33203125" style="8" customWidth="1"/>
    <col min="11525" max="11525" width="39.5546875" style="8" customWidth="1"/>
    <col min="11526" max="11778" width="11.44140625" style="8"/>
    <col min="11779" max="11779" width="12.33203125" style="8" customWidth="1"/>
    <col min="11780" max="11780" width="11.33203125" style="8" customWidth="1"/>
    <col min="11781" max="11781" width="39.5546875" style="8" customWidth="1"/>
    <col min="11782" max="12034" width="11.44140625" style="8"/>
    <col min="12035" max="12035" width="12.33203125" style="8" customWidth="1"/>
    <col min="12036" max="12036" width="11.33203125" style="8" customWidth="1"/>
    <col min="12037" max="12037" width="39.5546875" style="8" customWidth="1"/>
    <col min="12038" max="12290" width="11.44140625" style="8"/>
    <col min="12291" max="12291" width="12.33203125" style="8" customWidth="1"/>
    <col min="12292" max="12292" width="11.33203125" style="8" customWidth="1"/>
    <col min="12293" max="12293" width="39.5546875" style="8" customWidth="1"/>
    <col min="12294" max="12546" width="11.44140625" style="8"/>
    <col min="12547" max="12547" width="12.33203125" style="8" customWidth="1"/>
    <col min="12548" max="12548" width="11.33203125" style="8" customWidth="1"/>
    <col min="12549" max="12549" width="39.5546875" style="8" customWidth="1"/>
    <col min="12550" max="12802" width="11.44140625" style="8"/>
    <col min="12803" max="12803" width="12.33203125" style="8" customWidth="1"/>
    <col min="12804" max="12804" width="11.33203125" style="8" customWidth="1"/>
    <col min="12805" max="12805" width="39.5546875" style="8" customWidth="1"/>
    <col min="12806" max="13058" width="11.44140625" style="8"/>
    <col min="13059" max="13059" width="12.33203125" style="8" customWidth="1"/>
    <col min="13060" max="13060" width="11.33203125" style="8" customWidth="1"/>
    <col min="13061" max="13061" width="39.5546875" style="8" customWidth="1"/>
    <col min="13062" max="13314" width="11.44140625" style="8"/>
    <col min="13315" max="13315" width="12.33203125" style="8" customWidth="1"/>
    <col min="13316" max="13316" width="11.33203125" style="8" customWidth="1"/>
    <col min="13317" max="13317" width="39.5546875" style="8" customWidth="1"/>
    <col min="13318" max="13570" width="11.44140625" style="8"/>
    <col min="13571" max="13571" width="12.33203125" style="8" customWidth="1"/>
    <col min="13572" max="13572" width="11.33203125" style="8" customWidth="1"/>
    <col min="13573" max="13573" width="39.5546875" style="8" customWidth="1"/>
    <col min="13574" max="13826" width="11.44140625" style="8"/>
    <col min="13827" max="13827" width="12.33203125" style="8" customWidth="1"/>
    <col min="13828" max="13828" width="11.33203125" style="8" customWidth="1"/>
    <col min="13829" max="13829" width="39.5546875" style="8" customWidth="1"/>
    <col min="13830" max="14082" width="11.44140625" style="8"/>
    <col min="14083" max="14083" width="12.33203125" style="8" customWidth="1"/>
    <col min="14084" max="14084" width="11.33203125" style="8" customWidth="1"/>
    <col min="14085" max="14085" width="39.5546875" style="8" customWidth="1"/>
    <col min="14086" max="14338" width="11.44140625" style="8"/>
    <col min="14339" max="14339" width="12.33203125" style="8" customWidth="1"/>
    <col min="14340" max="14340" width="11.33203125" style="8" customWidth="1"/>
    <col min="14341" max="14341" width="39.5546875" style="8" customWidth="1"/>
    <col min="14342" max="14594" width="11.44140625" style="8"/>
    <col min="14595" max="14595" width="12.33203125" style="8" customWidth="1"/>
    <col min="14596" max="14596" width="11.33203125" style="8" customWidth="1"/>
    <col min="14597" max="14597" width="39.5546875" style="8" customWidth="1"/>
    <col min="14598" max="14850" width="11.44140625" style="8"/>
    <col min="14851" max="14851" width="12.33203125" style="8" customWidth="1"/>
    <col min="14852" max="14852" width="11.33203125" style="8" customWidth="1"/>
    <col min="14853" max="14853" width="39.5546875" style="8" customWidth="1"/>
    <col min="14854" max="15106" width="11.44140625" style="8"/>
    <col min="15107" max="15107" width="12.33203125" style="8" customWidth="1"/>
    <col min="15108" max="15108" width="11.33203125" style="8" customWidth="1"/>
    <col min="15109" max="15109" width="39.5546875" style="8" customWidth="1"/>
    <col min="15110" max="15362" width="11.44140625" style="8"/>
    <col min="15363" max="15363" width="12.33203125" style="8" customWidth="1"/>
    <col min="15364" max="15364" width="11.33203125" style="8" customWidth="1"/>
    <col min="15365" max="15365" width="39.5546875" style="8" customWidth="1"/>
    <col min="15366" max="15618" width="11.44140625" style="8"/>
    <col min="15619" max="15619" width="12.33203125" style="8" customWidth="1"/>
    <col min="15620" max="15620" width="11.33203125" style="8" customWidth="1"/>
    <col min="15621" max="15621" width="39.5546875" style="8" customWidth="1"/>
    <col min="15622" max="15874" width="11.44140625" style="8"/>
    <col min="15875" max="15875" width="12.33203125" style="8" customWidth="1"/>
    <col min="15876" max="15876" width="11.33203125" style="8" customWidth="1"/>
    <col min="15877" max="15877" width="39.5546875" style="8" customWidth="1"/>
    <col min="15878" max="16130" width="11.44140625" style="8"/>
    <col min="16131" max="16131" width="12.33203125" style="8" customWidth="1"/>
    <col min="16132" max="16132" width="11.33203125" style="8" customWidth="1"/>
    <col min="16133" max="16133" width="39.5546875" style="8" customWidth="1"/>
    <col min="16134" max="16384" width="11.44140625" style="8"/>
  </cols>
  <sheetData>
    <row r="1" spans="3:9" ht="15.6">
      <c r="C1" s="204" t="s">
        <v>23</v>
      </c>
    </row>
    <row r="3" spans="3:9" ht="18" customHeight="1">
      <c r="E3" s="340" t="s">
        <v>163</v>
      </c>
      <c r="F3" s="341"/>
      <c r="G3" s="341"/>
      <c r="H3" s="341"/>
      <c r="I3" s="342"/>
    </row>
    <row r="5" spans="3:9" ht="28.8">
      <c r="E5" s="205"/>
      <c r="F5" s="206" t="s">
        <v>122</v>
      </c>
      <c r="G5" s="206" t="s">
        <v>123</v>
      </c>
    </row>
    <row r="6" spans="3:9" ht="18.75" customHeight="1">
      <c r="E6" s="207" t="s">
        <v>161</v>
      </c>
      <c r="F6" s="208">
        <v>80</v>
      </c>
      <c r="G6" s="208">
        <v>160</v>
      </c>
    </row>
    <row r="7" spans="3:9" ht="16.8">
      <c r="E7" s="207" t="s">
        <v>162</v>
      </c>
      <c r="F7" s="207" t="s">
        <v>159</v>
      </c>
      <c r="G7" s="209" t="s">
        <v>160</v>
      </c>
    </row>
    <row r="8" spans="3:9">
      <c r="E8" s="210"/>
      <c r="F8" s="211">
        <f>+Inputs!C18</f>
        <v>0</v>
      </c>
      <c r="G8" s="211">
        <f>+Inputs!D18</f>
        <v>0</v>
      </c>
    </row>
    <row r="12" spans="3:9" ht="15.6">
      <c r="D12" s="221" t="s">
        <v>158</v>
      </c>
      <c r="E12" s="221"/>
      <c r="F12" s="221"/>
    </row>
    <row r="13" spans="3:9" ht="15" thickBot="1"/>
    <row r="14" spans="3:9" ht="18" thickTop="1" thickBot="1">
      <c r="E14" s="212" t="s">
        <v>157</v>
      </c>
      <c r="F14" s="213"/>
      <c r="G14" s="214">
        <f>F8*F6^2+G8*G6^2</f>
        <v>0</v>
      </c>
    </row>
    <row r="15" spans="3:9" ht="15" thickTop="1"/>
    <row r="17" spans="4:9" ht="15.6">
      <c r="E17" s="340" t="s">
        <v>164</v>
      </c>
      <c r="F17" s="341"/>
      <c r="G17" s="341"/>
      <c r="H17" s="341"/>
      <c r="I17" s="342"/>
    </row>
    <row r="20" spans="4:9" ht="28.8">
      <c r="E20" s="215"/>
      <c r="F20" s="206" t="s">
        <v>122</v>
      </c>
      <c r="G20" s="206" t="s">
        <v>123</v>
      </c>
    </row>
    <row r="21" spans="4:9">
      <c r="E21" s="216" t="s">
        <v>46</v>
      </c>
      <c r="F21" s="217">
        <f>Inputs!P27</f>
        <v>0</v>
      </c>
      <c r="G21" s="206">
        <f>F21*2</f>
        <v>0</v>
      </c>
    </row>
    <row r="22" spans="4:9" ht="15.6">
      <c r="E22" s="216" t="s">
        <v>47</v>
      </c>
      <c r="F22" s="218" t="s">
        <v>167</v>
      </c>
      <c r="G22" s="207" t="s">
        <v>168</v>
      </c>
    </row>
    <row r="23" spans="4:9">
      <c r="E23" s="210"/>
      <c r="F23" s="219">
        <f>Inputs!P18</f>
        <v>0</v>
      </c>
      <c r="G23" s="219">
        <f>Inputs!Q18</f>
        <v>0</v>
      </c>
    </row>
    <row r="24" spans="4:9">
      <c r="E24" s="220"/>
    </row>
    <row r="27" spans="4:9" ht="15.6">
      <c r="D27" s="343" t="s">
        <v>166</v>
      </c>
      <c r="E27" s="343"/>
      <c r="F27" s="343"/>
    </row>
    <row r="28" spans="4:9" ht="15" thickBot="1"/>
    <row r="29" spans="4:9" ht="18" thickTop="1" thickBot="1">
      <c r="D29" s="213"/>
      <c r="E29" s="212" t="s">
        <v>169</v>
      </c>
      <c r="F29" s="213"/>
      <c r="G29" s="214">
        <f>F23*F21^2+G23*G21^2</f>
        <v>0</v>
      </c>
      <c r="H29" s="213"/>
    </row>
    <row r="30" spans="4:9" ht="15" thickTop="1"/>
  </sheetData>
  <sheetProtection algorithmName="SHA-512" hashValue="J6l+wB7vbzpwx34SwrbKaW6dJfCbQPuxYdfRcQwZh+1A9hRq4mULO8UTdRcK9RIQcS8WXWG5lpfmKh4F/YIg0g==" saltValue="Sd2oOhSREWnHndRKmcsfSQ==" spinCount="100000" sheet="1" formatColumns="0" formatRows="0"/>
  <mergeCells count="3">
    <mergeCell ref="E3:I3"/>
    <mergeCell ref="E17:I17"/>
    <mergeCell ref="D27:F27"/>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499984740745262"/>
  </sheetPr>
  <dimension ref="A1:M34"/>
  <sheetViews>
    <sheetView showGridLines="0" zoomScale="110" zoomScaleNormal="110" workbookViewId="0">
      <selection activeCell="H16" sqref="H16"/>
    </sheetView>
  </sheetViews>
  <sheetFormatPr baseColWidth="10" defaultColWidth="11.5546875" defaultRowHeight="14.4"/>
  <cols>
    <col min="1" max="1" width="13.44140625" style="8" customWidth="1"/>
    <col min="2" max="2" width="11.44140625" style="8"/>
    <col min="3" max="6" width="11.5546875" style="8" customWidth="1"/>
    <col min="7" max="7" width="14" style="8" customWidth="1"/>
    <col min="8" max="8" width="12.44140625" style="8" bestFit="1" customWidth="1"/>
    <col min="9" max="13" width="11.5546875" style="8" bestFit="1" customWidth="1"/>
    <col min="14" max="262" width="11.44140625" style="8"/>
    <col min="263" max="263" width="33.6640625" style="8" customWidth="1"/>
    <col min="264" max="264" width="12.44140625" style="8" bestFit="1" customWidth="1"/>
    <col min="265" max="269" width="11.5546875" style="8" bestFit="1" customWidth="1"/>
    <col min="270" max="518" width="11.44140625" style="8"/>
    <col min="519" max="519" width="33.6640625" style="8" customWidth="1"/>
    <col min="520" max="520" width="12.44140625" style="8" bestFit="1" customWidth="1"/>
    <col min="521" max="525" width="11.5546875" style="8" bestFit="1" customWidth="1"/>
    <col min="526" max="774" width="11.44140625" style="8"/>
    <col min="775" max="775" width="33.6640625" style="8" customWidth="1"/>
    <col min="776" max="776" width="12.44140625" style="8" bestFit="1" customWidth="1"/>
    <col min="777" max="781" width="11.5546875" style="8" bestFit="1" customWidth="1"/>
    <col min="782" max="1030" width="11.44140625" style="8"/>
    <col min="1031" max="1031" width="33.6640625" style="8" customWidth="1"/>
    <col min="1032" max="1032" width="12.44140625" style="8" bestFit="1" customWidth="1"/>
    <col min="1033" max="1037" width="11.5546875" style="8" bestFit="1" customWidth="1"/>
    <col min="1038" max="1286" width="11.44140625" style="8"/>
    <col min="1287" max="1287" width="33.6640625" style="8" customWidth="1"/>
    <col min="1288" max="1288" width="12.44140625" style="8" bestFit="1" customWidth="1"/>
    <col min="1289" max="1293" width="11.5546875" style="8" bestFit="1" customWidth="1"/>
    <col min="1294" max="1542" width="11.44140625" style="8"/>
    <col min="1543" max="1543" width="33.6640625" style="8" customWidth="1"/>
    <col min="1544" max="1544" width="12.44140625" style="8" bestFit="1" customWidth="1"/>
    <col min="1545" max="1549" width="11.5546875" style="8" bestFit="1" customWidth="1"/>
    <col min="1550" max="1798" width="11.44140625" style="8"/>
    <col min="1799" max="1799" width="33.6640625" style="8" customWidth="1"/>
    <col min="1800" max="1800" width="12.44140625" style="8" bestFit="1" customWidth="1"/>
    <col min="1801" max="1805" width="11.5546875" style="8" bestFit="1" customWidth="1"/>
    <col min="1806" max="2054" width="11.44140625" style="8"/>
    <col min="2055" max="2055" width="33.6640625" style="8" customWidth="1"/>
    <col min="2056" max="2056" width="12.44140625" style="8" bestFit="1" customWidth="1"/>
    <col min="2057" max="2061" width="11.5546875" style="8" bestFit="1" customWidth="1"/>
    <col min="2062" max="2310" width="11.44140625" style="8"/>
    <col min="2311" max="2311" width="33.6640625" style="8" customWidth="1"/>
    <col min="2312" max="2312" width="12.44140625" style="8" bestFit="1" customWidth="1"/>
    <col min="2313" max="2317" width="11.5546875" style="8" bestFit="1" customWidth="1"/>
    <col min="2318" max="2566" width="11.44140625" style="8"/>
    <col min="2567" max="2567" width="33.6640625" style="8" customWidth="1"/>
    <col min="2568" max="2568" width="12.44140625" style="8" bestFit="1" customWidth="1"/>
    <col min="2569" max="2573" width="11.5546875" style="8" bestFit="1" customWidth="1"/>
    <col min="2574" max="2822" width="11.44140625" style="8"/>
    <col min="2823" max="2823" width="33.6640625" style="8" customWidth="1"/>
    <col min="2824" max="2824" width="12.44140625" style="8" bestFit="1" customWidth="1"/>
    <col min="2825" max="2829" width="11.5546875" style="8" bestFit="1" customWidth="1"/>
    <col min="2830" max="3078" width="11.44140625" style="8"/>
    <col min="3079" max="3079" width="33.6640625" style="8" customWidth="1"/>
    <col min="3080" max="3080" width="12.44140625" style="8" bestFit="1" customWidth="1"/>
    <col min="3081" max="3085" width="11.5546875" style="8" bestFit="1" customWidth="1"/>
    <col min="3086" max="3334" width="11.44140625" style="8"/>
    <col min="3335" max="3335" width="33.6640625" style="8" customWidth="1"/>
    <col min="3336" max="3336" width="12.44140625" style="8" bestFit="1" customWidth="1"/>
    <col min="3337" max="3341" width="11.5546875" style="8" bestFit="1" customWidth="1"/>
    <col min="3342" max="3590" width="11.44140625" style="8"/>
    <col min="3591" max="3591" width="33.6640625" style="8" customWidth="1"/>
    <col min="3592" max="3592" width="12.44140625" style="8" bestFit="1" customWidth="1"/>
    <col min="3593" max="3597" width="11.5546875" style="8" bestFit="1" customWidth="1"/>
    <col min="3598" max="3846" width="11.44140625" style="8"/>
    <col min="3847" max="3847" width="33.6640625" style="8" customWidth="1"/>
    <col min="3848" max="3848" width="12.44140625" style="8" bestFit="1" customWidth="1"/>
    <col min="3849" max="3853" width="11.5546875" style="8" bestFit="1" customWidth="1"/>
    <col min="3854" max="4102" width="11.44140625" style="8"/>
    <col min="4103" max="4103" width="33.6640625" style="8" customWidth="1"/>
    <col min="4104" max="4104" width="12.44140625" style="8" bestFit="1" customWidth="1"/>
    <col min="4105" max="4109" width="11.5546875" style="8" bestFit="1" customWidth="1"/>
    <col min="4110" max="4358" width="11.44140625" style="8"/>
    <col min="4359" max="4359" width="33.6640625" style="8" customWidth="1"/>
    <col min="4360" max="4360" width="12.44140625" style="8" bestFit="1" customWidth="1"/>
    <col min="4361" max="4365" width="11.5546875" style="8" bestFit="1" customWidth="1"/>
    <col min="4366" max="4614" width="11.44140625" style="8"/>
    <col min="4615" max="4615" width="33.6640625" style="8" customWidth="1"/>
    <col min="4616" max="4616" width="12.44140625" style="8" bestFit="1" customWidth="1"/>
    <col min="4617" max="4621" width="11.5546875" style="8" bestFit="1" customWidth="1"/>
    <col min="4622" max="4870" width="11.44140625" style="8"/>
    <col min="4871" max="4871" width="33.6640625" style="8" customWidth="1"/>
    <col min="4872" max="4872" width="12.44140625" style="8" bestFit="1" customWidth="1"/>
    <col min="4873" max="4877" width="11.5546875" style="8" bestFit="1" customWidth="1"/>
    <col min="4878" max="5126" width="11.44140625" style="8"/>
    <col min="5127" max="5127" width="33.6640625" style="8" customWidth="1"/>
    <col min="5128" max="5128" width="12.44140625" style="8" bestFit="1" customWidth="1"/>
    <col min="5129" max="5133" width="11.5546875" style="8" bestFit="1" customWidth="1"/>
    <col min="5134" max="5382" width="11.44140625" style="8"/>
    <col min="5383" max="5383" width="33.6640625" style="8" customWidth="1"/>
    <col min="5384" max="5384" width="12.44140625" style="8" bestFit="1" customWidth="1"/>
    <col min="5385" max="5389" width="11.5546875" style="8" bestFit="1" customWidth="1"/>
    <col min="5390" max="5638" width="11.44140625" style="8"/>
    <col min="5639" max="5639" width="33.6640625" style="8" customWidth="1"/>
    <col min="5640" max="5640" width="12.44140625" style="8" bestFit="1" customWidth="1"/>
    <col min="5641" max="5645" width="11.5546875" style="8" bestFit="1" customWidth="1"/>
    <col min="5646" max="5894" width="11.44140625" style="8"/>
    <col min="5895" max="5895" width="33.6640625" style="8" customWidth="1"/>
    <col min="5896" max="5896" width="12.44140625" style="8" bestFit="1" customWidth="1"/>
    <col min="5897" max="5901" width="11.5546875" style="8" bestFit="1" customWidth="1"/>
    <col min="5902" max="6150" width="11.44140625" style="8"/>
    <col min="6151" max="6151" width="33.6640625" style="8" customWidth="1"/>
    <col min="6152" max="6152" width="12.44140625" style="8" bestFit="1" customWidth="1"/>
    <col min="6153" max="6157" width="11.5546875" style="8" bestFit="1" customWidth="1"/>
    <col min="6158" max="6406" width="11.44140625" style="8"/>
    <col min="6407" max="6407" width="33.6640625" style="8" customWidth="1"/>
    <col min="6408" max="6408" width="12.44140625" style="8" bestFit="1" customWidth="1"/>
    <col min="6409" max="6413" width="11.5546875" style="8" bestFit="1" customWidth="1"/>
    <col min="6414" max="6662" width="11.44140625" style="8"/>
    <col min="6663" max="6663" width="33.6640625" style="8" customWidth="1"/>
    <col min="6664" max="6664" width="12.44140625" style="8" bestFit="1" customWidth="1"/>
    <col min="6665" max="6669" width="11.5546875" style="8" bestFit="1" customWidth="1"/>
    <col min="6670" max="6918" width="11.44140625" style="8"/>
    <col min="6919" max="6919" width="33.6640625" style="8" customWidth="1"/>
    <col min="6920" max="6920" width="12.44140625" style="8" bestFit="1" customWidth="1"/>
    <col min="6921" max="6925" width="11.5546875" style="8" bestFit="1" customWidth="1"/>
    <col min="6926" max="7174" width="11.44140625" style="8"/>
    <col min="7175" max="7175" width="33.6640625" style="8" customWidth="1"/>
    <col min="7176" max="7176" width="12.44140625" style="8" bestFit="1" customWidth="1"/>
    <col min="7177" max="7181" width="11.5546875" style="8" bestFit="1" customWidth="1"/>
    <col min="7182" max="7430" width="11.44140625" style="8"/>
    <col min="7431" max="7431" width="33.6640625" style="8" customWidth="1"/>
    <col min="7432" max="7432" width="12.44140625" style="8" bestFit="1" customWidth="1"/>
    <col min="7433" max="7437" width="11.5546875" style="8" bestFit="1" customWidth="1"/>
    <col min="7438" max="7686" width="11.44140625" style="8"/>
    <col min="7687" max="7687" width="33.6640625" style="8" customWidth="1"/>
    <col min="7688" max="7688" width="12.44140625" style="8" bestFit="1" customWidth="1"/>
    <col min="7689" max="7693" width="11.5546875" style="8" bestFit="1" customWidth="1"/>
    <col min="7694" max="7942" width="11.44140625" style="8"/>
    <col min="7943" max="7943" width="33.6640625" style="8" customWidth="1"/>
    <col min="7944" max="7944" width="12.44140625" style="8" bestFit="1" customWidth="1"/>
    <col min="7945" max="7949" width="11.5546875" style="8" bestFit="1" customWidth="1"/>
    <col min="7950" max="8198" width="11.44140625" style="8"/>
    <col min="8199" max="8199" width="33.6640625" style="8" customWidth="1"/>
    <col min="8200" max="8200" width="12.44140625" style="8" bestFit="1" customWidth="1"/>
    <col min="8201" max="8205" width="11.5546875" style="8" bestFit="1" customWidth="1"/>
    <col min="8206" max="8454" width="11.44140625" style="8"/>
    <col min="8455" max="8455" width="33.6640625" style="8" customWidth="1"/>
    <col min="8456" max="8456" width="12.44140625" style="8" bestFit="1" customWidth="1"/>
    <col min="8457" max="8461" width="11.5546875" style="8" bestFit="1" customWidth="1"/>
    <col min="8462" max="8710" width="11.44140625" style="8"/>
    <col min="8711" max="8711" width="33.6640625" style="8" customWidth="1"/>
    <col min="8712" max="8712" width="12.44140625" style="8" bestFit="1" customWidth="1"/>
    <col min="8713" max="8717" width="11.5546875" style="8" bestFit="1" customWidth="1"/>
    <col min="8718" max="8966" width="11.44140625" style="8"/>
    <col min="8967" max="8967" width="33.6640625" style="8" customWidth="1"/>
    <col min="8968" max="8968" width="12.44140625" style="8" bestFit="1" customWidth="1"/>
    <col min="8969" max="8973" width="11.5546875" style="8" bestFit="1" customWidth="1"/>
    <col min="8974" max="9222" width="11.44140625" style="8"/>
    <col min="9223" max="9223" width="33.6640625" style="8" customWidth="1"/>
    <col min="9224" max="9224" width="12.44140625" style="8" bestFit="1" customWidth="1"/>
    <col min="9225" max="9229" width="11.5546875" style="8" bestFit="1" customWidth="1"/>
    <col min="9230" max="9478" width="11.44140625" style="8"/>
    <col min="9479" max="9479" width="33.6640625" style="8" customWidth="1"/>
    <col min="9480" max="9480" width="12.44140625" style="8" bestFit="1" customWidth="1"/>
    <col min="9481" max="9485" width="11.5546875" style="8" bestFit="1" customWidth="1"/>
    <col min="9486" max="9734" width="11.44140625" style="8"/>
    <col min="9735" max="9735" width="33.6640625" style="8" customWidth="1"/>
    <col min="9736" max="9736" width="12.44140625" style="8" bestFit="1" customWidth="1"/>
    <col min="9737" max="9741" width="11.5546875" style="8" bestFit="1" customWidth="1"/>
    <col min="9742" max="9990" width="11.44140625" style="8"/>
    <col min="9991" max="9991" width="33.6640625" style="8" customWidth="1"/>
    <col min="9992" max="9992" width="12.44140625" style="8" bestFit="1" customWidth="1"/>
    <col min="9993" max="9997" width="11.5546875" style="8" bestFit="1" customWidth="1"/>
    <col min="9998" max="10246" width="11.44140625" style="8"/>
    <col min="10247" max="10247" width="33.6640625" style="8" customWidth="1"/>
    <col min="10248" max="10248" width="12.44140625" style="8" bestFit="1" customWidth="1"/>
    <col min="10249" max="10253" width="11.5546875" style="8" bestFit="1" customWidth="1"/>
    <col min="10254" max="10502" width="11.44140625" style="8"/>
    <col min="10503" max="10503" width="33.6640625" style="8" customWidth="1"/>
    <col min="10504" max="10504" width="12.44140625" style="8" bestFit="1" customWidth="1"/>
    <col min="10505" max="10509" width="11.5546875" style="8" bestFit="1" customWidth="1"/>
    <col min="10510" max="10758" width="11.44140625" style="8"/>
    <col min="10759" max="10759" width="33.6640625" style="8" customWidth="1"/>
    <col min="10760" max="10760" width="12.44140625" style="8" bestFit="1" customWidth="1"/>
    <col min="10761" max="10765" width="11.5546875" style="8" bestFit="1" customWidth="1"/>
    <col min="10766" max="11014" width="11.44140625" style="8"/>
    <col min="11015" max="11015" width="33.6640625" style="8" customWidth="1"/>
    <col min="11016" max="11016" width="12.44140625" style="8" bestFit="1" customWidth="1"/>
    <col min="11017" max="11021" width="11.5546875" style="8" bestFit="1" customWidth="1"/>
    <col min="11022" max="11270" width="11.44140625" style="8"/>
    <col min="11271" max="11271" width="33.6640625" style="8" customWidth="1"/>
    <col min="11272" max="11272" width="12.44140625" style="8" bestFit="1" customWidth="1"/>
    <col min="11273" max="11277" width="11.5546875" style="8" bestFit="1" customWidth="1"/>
    <col min="11278" max="11526" width="11.44140625" style="8"/>
    <col min="11527" max="11527" width="33.6640625" style="8" customWidth="1"/>
    <col min="11528" max="11528" width="12.44140625" style="8" bestFit="1" customWidth="1"/>
    <col min="11529" max="11533" width="11.5546875" style="8" bestFit="1" customWidth="1"/>
    <col min="11534" max="11782" width="11.44140625" style="8"/>
    <col min="11783" max="11783" width="33.6640625" style="8" customWidth="1"/>
    <col min="11784" max="11784" width="12.44140625" style="8" bestFit="1" customWidth="1"/>
    <col min="11785" max="11789" width="11.5546875" style="8" bestFit="1" customWidth="1"/>
    <col min="11790" max="12038" width="11.44140625" style="8"/>
    <col min="12039" max="12039" width="33.6640625" style="8" customWidth="1"/>
    <col min="12040" max="12040" width="12.44140625" style="8" bestFit="1" customWidth="1"/>
    <col min="12041" max="12045" width="11.5546875" style="8" bestFit="1" customWidth="1"/>
    <col min="12046" max="12294" width="11.44140625" style="8"/>
    <col min="12295" max="12295" width="33.6640625" style="8" customWidth="1"/>
    <col min="12296" max="12296" width="12.44140625" style="8" bestFit="1" customWidth="1"/>
    <col min="12297" max="12301" width="11.5546875" style="8" bestFit="1" customWidth="1"/>
    <col min="12302" max="12550" width="11.44140625" style="8"/>
    <col min="12551" max="12551" width="33.6640625" style="8" customWidth="1"/>
    <col min="12552" max="12552" width="12.44140625" style="8" bestFit="1" customWidth="1"/>
    <col min="12553" max="12557" width="11.5546875" style="8" bestFit="1" customWidth="1"/>
    <col min="12558" max="12806" width="11.44140625" style="8"/>
    <col min="12807" max="12807" width="33.6640625" style="8" customWidth="1"/>
    <col min="12808" max="12808" width="12.44140625" style="8" bestFit="1" customWidth="1"/>
    <col min="12809" max="12813" width="11.5546875" style="8" bestFit="1" customWidth="1"/>
    <col min="12814" max="13062" width="11.44140625" style="8"/>
    <col min="13063" max="13063" width="33.6640625" style="8" customWidth="1"/>
    <col min="13064" max="13064" width="12.44140625" style="8" bestFit="1" customWidth="1"/>
    <col min="13065" max="13069" width="11.5546875" style="8" bestFit="1" customWidth="1"/>
    <col min="13070" max="13318" width="11.44140625" style="8"/>
    <col min="13319" max="13319" width="33.6640625" style="8" customWidth="1"/>
    <col min="13320" max="13320" width="12.44140625" style="8" bestFit="1" customWidth="1"/>
    <col min="13321" max="13325" width="11.5546875" style="8" bestFit="1" customWidth="1"/>
    <col min="13326" max="13574" width="11.44140625" style="8"/>
    <col min="13575" max="13575" width="33.6640625" style="8" customWidth="1"/>
    <col min="13576" max="13576" width="12.44140625" style="8" bestFit="1" customWidth="1"/>
    <col min="13577" max="13581" width="11.5546875" style="8" bestFit="1" customWidth="1"/>
    <col min="13582" max="13830" width="11.44140625" style="8"/>
    <col min="13831" max="13831" width="33.6640625" style="8" customWidth="1"/>
    <col min="13832" max="13832" width="12.44140625" style="8" bestFit="1" customWidth="1"/>
    <col min="13833" max="13837" width="11.5546875" style="8" bestFit="1" customWidth="1"/>
    <col min="13838" max="14086" width="11.44140625" style="8"/>
    <col min="14087" max="14087" width="33.6640625" style="8" customWidth="1"/>
    <col min="14088" max="14088" width="12.44140625" style="8" bestFit="1" customWidth="1"/>
    <col min="14089" max="14093" width="11.5546875" style="8" bestFit="1" customWidth="1"/>
    <col min="14094" max="14342" width="11.44140625" style="8"/>
    <col min="14343" max="14343" width="33.6640625" style="8" customWidth="1"/>
    <col min="14344" max="14344" width="12.44140625" style="8" bestFit="1" customWidth="1"/>
    <col min="14345" max="14349" width="11.5546875" style="8" bestFit="1" customWidth="1"/>
    <col min="14350" max="14598" width="11.44140625" style="8"/>
    <col min="14599" max="14599" width="33.6640625" style="8" customWidth="1"/>
    <col min="14600" max="14600" width="12.44140625" style="8" bestFit="1" customWidth="1"/>
    <col min="14601" max="14605" width="11.5546875" style="8" bestFit="1" customWidth="1"/>
    <col min="14606" max="14854" width="11.44140625" style="8"/>
    <col min="14855" max="14855" width="33.6640625" style="8" customWidth="1"/>
    <col min="14856" max="14856" width="12.44140625" style="8" bestFit="1" customWidth="1"/>
    <col min="14857" max="14861" width="11.5546875" style="8" bestFit="1" customWidth="1"/>
    <col min="14862" max="15110" width="11.44140625" style="8"/>
    <col min="15111" max="15111" width="33.6640625" style="8" customWidth="1"/>
    <col min="15112" max="15112" width="12.44140625" style="8" bestFit="1" customWidth="1"/>
    <col min="15113" max="15117" width="11.5546875" style="8" bestFit="1" customWidth="1"/>
    <col min="15118" max="15366" width="11.44140625" style="8"/>
    <col min="15367" max="15367" width="33.6640625" style="8" customWidth="1"/>
    <col min="15368" max="15368" width="12.44140625" style="8" bestFit="1" customWidth="1"/>
    <col min="15369" max="15373" width="11.5546875" style="8" bestFit="1" customWidth="1"/>
    <col min="15374" max="15622" width="11.44140625" style="8"/>
    <col min="15623" max="15623" width="33.6640625" style="8" customWidth="1"/>
    <col min="15624" max="15624" width="12.44140625" style="8" bestFit="1" customWidth="1"/>
    <col min="15625" max="15629" width="11.5546875" style="8" bestFit="1" customWidth="1"/>
    <col min="15630" max="15878" width="11.44140625" style="8"/>
    <col min="15879" max="15879" width="33.6640625" style="8" customWidth="1"/>
    <col min="15880" max="15880" width="12.44140625" style="8" bestFit="1" customWidth="1"/>
    <col min="15881" max="15885" width="11.5546875" style="8" bestFit="1" customWidth="1"/>
    <col min="15886" max="16134" width="11.44140625" style="8"/>
    <col min="16135" max="16135" width="33.6640625" style="8" customWidth="1"/>
    <col min="16136" max="16136" width="12.44140625" style="8" bestFit="1" customWidth="1"/>
    <col min="16137" max="16141" width="11.5546875" style="8" bestFit="1" customWidth="1"/>
    <col min="16142" max="16384" width="11.44140625" style="8"/>
  </cols>
  <sheetData>
    <row r="1" spans="1:13" ht="15.6">
      <c r="A1" s="204" t="s">
        <v>40</v>
      </c>
    </row>
    <row r="2" spans="1:13" ht="15.75" customHeight="1">
      <c r="H2" s="340" t="s">
        <v>24</v>
      </c>
      <c r="I2" s="341"/>
      <c r="J2" s="341"/>
      <c r="K2" s="341"/>
    </row>
    <row r="4" spans="1:13">
      <c r="C4" s="222"/>
      <c r="D4" s="223"/>
      <c r="E4" s="223"/>
      <c r="F4" s="223"/>
      <c r="G4" s="223"/>
      <c r="H4" s="344" t="s">
        <v>131</v>
      </c>
      <c r="I4" s="344"/>
      <c r="J4" s="344"/>
      <c r="K4" s="344"/>
      <c r="L4" s="344"/>
      <c r="M4" s="344"/>
    </row>
    <row r="5" spans="1:13" ht="30.6">
      <c r="C5" s="224" t="s">
        <v>170</v>
      </c>
      <c r="D5" s="224" t="s">
        <v>171</v>
      </c>
      <c r="E5" s="224" t="s">
        <v>172</v>
      </c>
      <c r="F5" s="224" t="s">
        <v>173</v>
      </c>
      <c r="G5" s="224" t="s">
        <v>130</v>
      </c>
      <c r="H5" s="225" t="s">
        <v>25</v>
      </c>
      <c r="I5" s="226" t="s">
        <v>26</v>
      </c>
      <c r="J5" s="226" t="s">
        <v>27</v>
      </c>
      <c r="K5" s="226" t="s">
        <v>28</v>
      </c>
      <c r="L5" s="226" t="s">
        <v>29</v>
      </c>
      <c r="M5" s="226" t="s">
        <v>30</v>
      </c>
    </row>
    <row r="6" spans="1:13">
      <c r="C6" s="209">
        <v>286</v>
      </c>
      <c r="D6" s="227">
        <f>Inputs!C25</f>
        <v>0</v>
      </c>
      <c r="E6" s="227">
        <f>Inputs!D25</f>
        <v>0</v>
      </c>
      <c r="F6" s="227">
        <f>Inputs!E25</f>
        <v>286</v>
      </c>
      <c r="G6" s="227">
        <f>Inputs!F25</f>
        <v>0</v>
      </c>
      <c r="H6" s="228">
        <f>+Inputs!G25</f>
        <v>0</v>
      </c>
      <c r="I6" s="228">
        <f>+Inputs!H25</f>
        <v>0</v>
      </c>
      <c r="J6" s="228">
        <f>+Inputs!I25</f>
        <v>0</v>
      </c>
      <c r="K6" s="228">
        <f>+Inputs!J25</f>
        <v>0</v>
      </c>
      <c r="L6" s="228">
        <f>+Inputs!K25</f>
        <v>0</v>
      </c>
      <c r="M6" s="228">
        <f>+Inputs!L25</f>
        <v>0</v>
      </c>
    </row>
    <row r="7" spans="1:13">
      <c r="C7" s="209">
        <v>270</v>
      </c>
      <c r="D7" s="227">
        <f>Inputs!C26</f>
        <v>0</v>
      </c>
      <c r="E7" s="227">
        <f>Inputs!D26</f>
        <v>0</v>
      </c>
      <c r="F7" s="227">
        <f>Inputs!E26</f>
        <v>270</v>
      </c>
      <c r="G7" s="227">
        <f>Inputs!F26</f>
        <v>0</v>
      </c>
      <c r="H7" s="228">
        <f>+Inputs!G26</f>
        <v>0</v>
      </c>
      <c r="I7" s="228">
        <f>+Inputs!H26</f>
        <v>0</v>
      </c>
      <c r="J7" s="228">
        <f>+Inputs!I26</f>
        <v>0</v>
      </c>
      <c r="K7" s="228">
        <f>+Inputs!J26</f>
        <v>0</v>
      </c>
      <c r="L7" s="228">
        <f>+Inputs!K26</f>
        <v>0</v>
      </c>
      <c r="M7" s="228">
        <f>+Inputs!L26</f>
        <v>0</v>
      </c>
    </row>
    <row r="8" spans="1:13">
      <c r="C8" s="227">
        <f>Inputs!B27</f>
        <v>250.9</v>
      </c>
      <c r="D8" s="227">
        <f>Inputs!C27</f>
        <v>80</v>
      </c>
      <c r="E8" s="227">
        <f>Inputs!D27</f>
        <v>0</v>
      </c>
      <c r="F8" s="229">
        <f>Inputs!E27</f>
        <v>250.9</v>
      </c>
      <c r="G8" s="227">
        <f>Inputs!F27</f>
        <v>0</v>
      </c>
      <c r="H8" s="228">
        <f>+Inputs!G27</f>
        <v>0</v>
      </c>
      <c r="I8" s="228">
        <f>+Inputs!H27</f>
        <v>0</v>
      </c>
      <c r="J8" s="228">
        <f>+Inputs!I27</f>
        <v>0</v>
      </c>
      <c r="K8" s="228">
        <f>+Inputs!J27</f>
        <v>0</v>
      </c>
      <c r="L8" s="228">
        <f>+Inputs!K27</f>
        <v>0</v>
      </c>
      <c r="M8" s="228">
        <f>+Inputs!L27</f>
        <v>0</v>
      </c>
    </row>
    <row r="9" spans="1:13">
      <c r="C9" s="209">
        <v>238</v>
      </c>
      <c r="D9" s="227">
        <f>Inputs!C28</f>
        <v>0</v>
      </c>
      <c r="E9" s="227">
        <f>Inputs!D28</f>
        <v>0</v>
      </c>
      <c r="F9" s="227">
        <f>Inputs!E28</f>
        <v>238</v>
      </c>
      <c r="G9" s="227">
        <f>Inputs!F28</f>
        <v>0</v>
      </c>
      <c r="H9" s="228">
        <f>+Inputs!G28</f>
        <v>0</v>
      </c>
      <c r="I9" s="228">
        <f>+Inputs!H28</f>
        <v>0</v>
      </c>
      <c r="J9" s="228">
        <f>+Inputs!I28</f>
        <v>0</v>
      </c>
      <c r="K9" s="228">
        <f>+Inputs!J28</f>
        <v>0</v>
      </c>
      <c r="L9" s="228">
        <f>+Inputs!K28</f>
        <v>0</v>
      </c>
      <c r="M9" s="228">
        <f>+Inputs!L28</f>
        <v>0</v>
      </c>
    </row>
    <row r="10" spans="1:13">
      <c r="C10" s="209">
        <v>222</v>
      </c>
      <c r="D10" s="227">
        <f>Inputs!C29</f>
        <v>0</v>
      </c>
      <c r="E10" s="227">
        <f>Inputs!D29</f>
        <v>0</v>
      </c>
      <c r="F10" s="227">
        <f>Inputs!E29</f>
        <v>222</v>
      </c>
      <c r="G10" s="227">
        <f>Inputs!F29</f>
        <v>0</v>
      </c>
      <c r="H10" s="228">
        <f>+Inputs!G29</f>
        <v>0</v>
      </c>
      <c r="I10" s="228">
        <f>+Inputs!H29</f>
        <v>0</v>
      </c>
      <c r="J10" s="228">
        <f>+Inputs!I29</f>
        <v>0</v>
      </c>
      <c r="K10" s="228">
        <f>+Inputs!J29</f>
        <v>0</v>
      </c>
      <c r="L10" s="228">
        <f>+Inputs!K29</f>
        <v>0</v>
      </c>
      <c r="M10" s="228">
        <f>+Inputs!L29</f>
        <v>0</v>
      </c>
    </row>
    <row r="11" spans="1:13" ht="16.2">
      <c r="C11" s="230"/>
      <c r="D11" s="231"/>
      <c r="E11" s="231"/>
      <c r="F11" s="232"/>
      <c r="G11" s="232"/>
      <c r="H11" s="233" t="s">
        <v>31</v>
      </c>
      <c r="I11" s="233" t="s">
        <v>32</v>
      </c>
      <c r="J11" s="233" t="s">
        <v>33</v>
      </c>
      <c r="K11" s="233" t="s">
        <v>34</v>
      </c>
      <c r="L11" s="233" t="s">
        <v>35</v>
      </c>
      <c r="M11" s="233" t="s">
        <v>36</v>
      </c>
    </row>
    <row r="12" spans="1:13" ht="16.2">
      <c r="C12" s="234"/>
      <c r="D12" s="234"/>
      <c r="E12" s="234"/>
      <c r="F12" s="234"/>
      <c r="G12" s="235" t="s">
        <v>174</v>
      </c>
      <c r="H12" s="236">
        <f>+(H6+H7+H8+H9+H10)/5</f>
        <v>0</v>
      </c>
      <c r="I12" s="236">
        <f t="shared" ref="I12:M12" si="0">+(I6+I7+I8+I9+I10)/5</f>
        <v>0</v>
      </c>
      <c r="J12" s="236">
        <f t="shared" si="0"/>
        <v>0</v>
      </c>
      <c r="K12" s="236">
        <f t="shared" si="0"/>
        <v>0</v>
      </c>
      <c r="L12" s="236">
        <f t="shared" si="0"/>
        <v>0</v>
      </c>
      <c r="M12" s="236">
        <f t="shared" si="0"/>
        <v>0</v>
      </c>
    </row>
    <row r="14" spans="1:13" ht="15.75" customHeight="1">
      <c r="C14" s="9"/>
      <c r="D14" s="9"/>
      <c r="E14" s="9"/>
      <c r="F14" s="9"/>
      <c r="G14" s="9"/>
    </row>
    <row r="15" spans="1:13" ht="15.75" customHeight="1" thickBot="1">
      <c r="B15" s="221" t="s">
        <v>37</v>
      </c>
      <c r="C15" s="221"/>
      <c r="D15" s="221"/>
      <c r="E15" s="221"/>
      <c r="F15" s="221"/>
      <c r="G15" s="221"/>
    </row>
    <row r="16" spans="1:13" s="10" customFormat="1" ht="23.25" customHeight="1" thickTop="1" thickBot="1">
      <c r="B16" s="237"/>
      <c r="C16" s="237"/>
      <c r="D16" s="237"/>
      <c r="E16" s="237"/>
      <c r="F16" s="237"/>
      <c r="G16" s="237"/>
      <c r="H16" s="238">
        <f>(30*H12+30*I12+20*J12+10*K12+5*L12+5*M12)/100</f>
        <v>0</v>
      </c>
    </row>
    <row r="17" spans="2:11" ht="15.75" customHeight="1" thickTop="1"/>
    <row r="18" spans="2:11">
      <c r="C18" s="9"/>
      <c r="D18" s="9"/>
      <c r="E18" s="9"/>
      <c r="F18" s="9"/>
      <c r="G18" s="9"/>
    </row>
    <row r="20" spans="2:11" ht="15.6">
      <c r="H20" s="340" t="s">
        <v>38</v>
      </c>
      <c r="I20" s="341"/>
      <c r="J20" s="341"/>
      <c r="K20" s="341"/>
    </row>
    <row r="23" spans="2:11" ht="30.6">
      <c r="C23" s="224" t="s">
        <v>175</v>
      </c>
      <c r="D23" s="224" t="s">
        <v>176</v>
      </c>
      <c r="E23" s="224" t="s">
        <v>177</v>
      </c>
      <c r="F23" s="224" t="s">
        <v>178</v>
      </c>
      <c r="G23" s="224" t="s">
        <v>136</v>
      </c>
      <c r="H23" s="239" t="s">
        <v>137</v>
      </c>
    </row>
    <row r="24" spans="2:11">
      <c r="C24" s="209">
        <v>286</v>
      </c>
      <c r="D24" s="240">
        <f>+Inputs!P25</f>
        <v>0</v>
      </c>
      <c r="E24" s="240">
        <f>+Inputs!Q25</f>
        <v>0</v>
      </c>
      <c r="F24" s="240">
        <f>+Inputs!R25</f>
        <v>286</v>
      </c>
      <c r="G24" s="240" t="e">
        <f>+Inputs!S25</f>
        <v>#DIV/0!</v>
      </c>
      <c r="H24" s="240">
        <f>+Inputs!T25</f>
        <v>0</v>
      </c>
    </row>
    <row r="25" spans="2:11">
      <c r="C25" s="209">
        <v>270</v>
      </c>
      <c r="D25" s="240">
        <f>+Inputs!P26</f>
        <v>0</v>
      </c>
      <c r="E25" s="240">
        <f>+Inputs!Q26</f>
        <v>0</v>
      </c>
      <c r="F25" s="240">
        <f>+Inputs!R26</f>
        <v>270</v>
      </c>
      <c r="G25" s="240" t="e">
        <f>+Inputs!S26</f>
        <v>#DIV/0!</v>
      </c>
      <c r="H25" s="240">
        <f>+Inputs!T26</f>
        <v>0</v>
      </c>
    </row>
    <row r="26" spans="2:11">
      <c r="C26" s="209">
        <v>254</v>
      </c>
      <c r="D26" s="240">
        <f>+Inputs!P27</f>
        <v>0</v>
      </c>
      <c r="E26" s="240">
        <f>+Inputs!Q27</f>
        <v>0</v>
      </c>
      <c r="F26" s="240">
        <f>+Inputs!R27</f>
        <v>254</v>
      </c>
      <c r="G26" s="240" t="e">
        <f>+Inputs!S27</f>
        <v>#DIV/0!</v>
      </c>
      <c r="H26" s="240">
        <f>+Inputs!T27</f>
        <v>0</v>
      </c>
    </row>
    <row r="27" spans="2:11">
      <c r="C27" s="209">
        <v>238</v>
      </c>
      <c r="D27" s="240">
        <f>+Inputs!P28</f>
        <v>0</v>
      </c>
      <c r="E27" s="240">
        <f>+Inputs!Q28</f>
        <v>0</v>
      </c>
      <c r="F27" s="240">
        <f>+Inputs!R28</f>
        <v>238</v>
      </c>
      <c r="G27" s="240" t="e">
        <f>+Inputs!S28</f>
        <v>#DIV/0!</v>
      </c>
      <c r="H27" s="240">
        <f>+Inputs!T28</f>
        <v>0</v>
      </c>
    </row>
    <row r="28" spans="2:11">
      <c r="C28" s="209">
        <v>222</v>
      </c>
      <c r="D28" s="240">
        <f>+Inputs!P29</f>
        <v>0</v>
      </c>
      <c r="E28" s="240">
        <f>+Inputs!Q29</f>
        <v>0</v>
      </c>
      <c r="F28" s="240">
        <f>+Inputs!R29</f>
        <v>222</v>
      </c>
      <c r="G28" s="240" t="e">
        <f>+Inputs!S29</f>
        <v>#DIV/0!</v>
      </c>
      <c r="H28" s="240">
        <f>+Inputs!T29</f>
        <v>0</v>
      </c>
    </row>
    <row r="29" spans="2:11">
      <c r="C29" s="241"/>
      <c r="D29" s="241"/>
      <c r="E29" s="241"/>
      <c r="F29" s="241"/>
      <c r="G29" s="241"/>
    </row>
    <row r="31" spans="2:11" ht="15" thickBot="1">
      <c r="B31" s="221" t="s">
        <v>39</v>
      </c>
      <c r="C31" s="221"/>
      <c r="D31" s="221"/>
      <c r="E31" s="221"/>
      <c r="F31" s="221"/>
      <c r="G31" s="221"/>
    </row>
    <row r="32" spans="2:11" ht="15.6" thickTop="1" thickBot="1">
      <c r="B32" s="213"/>
      <c r="C32" s="213"/>
      <c r="D32" s="213"/>
      <c r="E32" s="213"/>
      <c r="F32" s="213"/>
      <c r="G32" s="213"/>
      <c r="H32" s="214">
        <f>(H24+H25+H26+H27+H28)/5</f>
        <v>0</v>
      </c>
      <c r="I32" s="213"/>
    </row>
    <row r="33" spans="3:7" ht="15" thickTop="1"/>
    <row r="34" spans="3:7">
      <c r="C34" s="9"/>
      <c r="D34" s="9"/>
      <c r="E34" s="9"/>
      <c r="F34" s="9"/>
      <c r="G34" s="9"/>
    </row>
  </sheetData>
  <sheetProtection algorithmName="SHA-512" hashValue="wX3GWPmc6wjkfg1xi/T2qGxY15vouCsRVApFSZjHFxT/ZCCUWroG++skz4zZrTPrm4pTw086QOkwJ0vGTrpLPQ==" saltValue="A8TCFOsug/qzfi/5+3GXHA==" spinCount="100000" sheet="1" formatColumns="0" formatRows="0"/>
  <mergeCells count="3">
    <mergeCell ref="H2:K2"/>
    <mergeCell ref="H20:K20"/>
    <mergeCell ref="H4:M4"/>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499984740745262"/>
  </sheetPr>
  <dimension ref="E1:L32"/>
  <sheetViews>
    <sheetView showGridLines="0" topLeftCell="D15" zoomScale="130" zoomScaleNormal="130" workbookViewId="0">
      <selection activeCell="G25" sqref="G25"/>
    </sheetView>
  </sheetViews>
  <sheetFormatPr baseColWidth="10" defaultColWidth="11.5546875" defaultRowHeight="14.4"/>
  <cols>
    <col min="1" max="3" width="11.5546875" style="8"/>
    <col min="4" max="4" width="12.33203125" style="8" customWidth="1"/>
    <col min="5" max="5" width="11.88671875" style="8" customWidth="1"/>
    <col min="6" max="6" width="29.5546875" style="8" customWidth="1"/>
    <col min="7" max="259" width="11.44140625" style="8"/>
    <col min="260" max="260" width="12.33203125" style="8" customWidth="1"/>
    <col min="261" max="261" width="11.88671875" style="8" customWidth="1"/>
    <col min="262" max="262" width="29.5546875" style="8" customWidth="1"/>
    <col min="263" max="515" width="11.44140625" style="8"/>
    <col min="516" max="516" width="12.33203125" style="8" customWidth="1"/>
    <col min="517" max="517" width="11.88671875" style="8" customWidth="1"/>
    <col min="518" max="518" width="29.5546875" style="8" customWidth="1"/>
    <col min="519" max="771" width="11.44140625" style="8"/>
    <col min="772" max="772" width="12.33203125" style="8" customWidth="1"/>
    <col min="773" max="773" width="11.88671875" style="8" customWidth="1"/>
    <col min="774" max="774" width="29.5546875" style="8" customWidth="1"/>
    <col min="775" max="1027" width="11.44140625" style="8"/>
    <col min="1028" max="1028" width="12.33203125" style="8" customWidth="1"/>
    <col min="1029" max="1029" width="11.88671875" style="8" customWidth="1"/>
    <col min="1030" max="1030" width="29.5546875" style="8" customWidth="1"/>
    <col min="1031" max="1283" width="11.44140625" style="8"/>
    <col min="1284" max="1284" width="12.33203125" style="8" customWidth="1"/>
    <col min="1285" max="1285" width="11.88671875" style="8" customWidth="1"/>
    <col min="1286" max="1286" width="29.5546875" style="8" customWidth="1"/>
    <col min="1287" max="1539" width="11.44140625" style="8"/>
    <col min="1540" max="1540" width="12.33203125" style="8" customWidth="1"/>
    <col min="1541" max="1541" width="11.88671875" style="8" customWidth="1"/>
    <col min="1542" max="1542" width="29.5546875" style="8" customWidth="1"/>
    <col min="1543" max="1795" width="11.44140625" style="8"/>
    <col min="1796" max="1796" width="12.33203125" style="8" customWidth="1"/>
    <col min="1797" max="1797" width="11.88671875" style="8" customWidth="1"/>
    <col min="1798" max="1798" width="29.5546875" style="8" customWidth="1"/>
    <col min="1799" max="2051" width="11.44140625" style="8"/>
    <col min="2052" max="2052" width="12.33203125" style="8" customWidth="1"/>
    <col min="2053" max="2053" width="11.88671875" style="8" customWidth="1"/>
    <col min="2054" max="2054" width="29.5546875" style="8" customWidth="1"/>
    <col min="2055" max="2307" width="11.44140625" style="8"/>
    <col min="2308" max="2308" width="12.33203125" style="8" customWidth="1"/>
    <col min="2309" max="2309" width="11.88671875" style="8" customWidth="1"/>
    <col min="2310" max="2310" width="29.5546875" style="8" customWidth="1"/>
    <col min="2311" max="2563" width="11.44140625" style="8"/>
    <col min="2564" max="2564" width="12.33203125" style="8" customWidth="1"/>
    <col min="2565" max="2565" width="11.88671875" style="8" customWidth="1"/>
    <col min="2566" max="2566" width="29.5546875" style="8" customWidth="1"/>
    <col min="2567" max="2819" width="11.44140625" style="8"/>
    <col min="2820" max="2820" width="12.33203125" style="8" customWidth="1"/>
    <col min="2821" max="2821" width="11.88671875" style="8" customWidth="1"/>
    <col min="2822" max="2822" width="29.5546875" style="8" customWidth="1"/>
    <col min="2823" max="3075" width="11.44140625" style="8"/>
    <col min="3076" max="3076" width="12.33203125" style="8" customWidth="1"/>
    <col min="3077" max="3077" width="11.88671875" style="8" customWidth="1"/>
    <col min="3078" max="3078" width="29.5546875" style="8" customWidth="1"/>
    <col min="3079" max="3331" width="11.44140625" style="8"/>
    <col min="3332" max="3332" width="12.33203125" style="8" customWidth="1"/>
    <col min="3333" max="3333" width="11.88671875" style="8" customWidth="1"/>
    <col min="3334" max="3334" width="29.5546875" style="8" customWidth="1"/>
    <col min="3335" max="3587" width="11.44140625" style="8"/>
    <col min="3588" max="3588" width="12.33203125" style="8" customWidth="1"/>
    <col min="3589" max="3589" width="11.88671875" style="8" customWidth="1"/>
    <col min="3590" max="3590" width="29.5546875" style="8" customWidth="1"/>
    <col min="3591" max="3843" width="11.44140625" style="8"/>
    <col min="3844" max="3844" width="12.33203125" style="8" customWidth="1"/>
    <col min="3845" max="3845" width="11.88671875" style="8" customWidth="1"/>
    <col min="3846" max="3846" width="29.5546875" style="8" customWidth="1"/>
    <col min="3847" max="4099" width="11.44140625" style="8"/>
    <col min="4100" max="4100" width="12.33203125" style="8" customWidth="1"/>
    <col min="4101" max="4101" width="11.88671875" style="8" customWidth="1"/>
    <col min="4102" max="4102" width="29.5546875" style="8" customWidth="1"/>
    <col min="4103" max="4355" width="11.44140625" style="8"/>
    <col min="4356" max="4356" width="12.33203125" style="8" customWidth="1"/>
    <col min="4357" max="4357" width="11.88671875" style="8" customWidth="1"/>
    <col min="4358" max="4358" width="29.5546875" style="8" customWidth="1"/>
    <col min="4359" max="4611" width="11.44140625" style="8"/>
    <col min="4612" max="4612" width="12.33203125" style="8" customWidth="1"/>
    <col min="4613" max="4613" width="11.88671875" style="8" customWidth="1"/>
    <col min="4614" max="4614" width="29.5546875" style="8" customWidth="1"/>
    <col min="4615" max="4867" width="11.44140625" style="8"/>
    <col min="4868" max="4868" width="12.33203125" style="8" customWidth="1"/>
    <col min="4869" max="4869" width="11.88671875" style="8" customWidth="1"/>
    <col min="4870" max="4870" width="29.5546875" style="8" customWidth="1"/>
    <col min="4871" max="5123" width="11.44140625" style="8"/>
    <col min="5124" max="5124" width="12.33203125" style="8" customWidth="1"/>
    <col min="5125" max="5125" width="11.88671875" style="8" customWidth="1"/>
    <col min="5126" max="5126" width="29.5546875" style="8" customWidth="1"/>
    <col min="5127" max="5379" width="11.44140625" style="8"/>
    <col min="5380" max="5380" width="12.33203125" style="8" customWidth="1"/>
    <col min="5381" max="5381" width="11.88671875" style="8" customWidth="1"/>
    <col min="5382" max="5382" width="29.5546875" style="8" customWidth="1"/>
    <col min="5383" max="5635" width="11.44140625" style="8"/>
    <col min="5636" max="5636" width="12.33203125" style="8" customWidth="1"/>
    <col min="5637" max="5637" width="11.88671875" style="8" customWidth="1"/>
    <col min="5638" max="5638" width="29.5546875" style="8" customWidth="1"/>
    <col min="5639" max="5891" width="11.44140625" style="8"/>
    <col min="5892" max="5892" width="12.33203125" style="8" customWidth="1"/>
    <col min="5893" max="5893" width="11.88671875" style="8" customWidth="1"/>
    <col min="5894" max="5894" width="29.5546875" style="8" customWidth="1"/>
    <col min="5895" max="6147" width="11.44140625" style="8"/>
    <col min="6148" max="6148" width="12.33203125" style="8" customWidth="1"/>
    <col min="6149" max="6149" width="11.88671875" style="8" customWidth="1"/>
    <col min="6150" max="6150" width="29.5546875" style="8" customWidth="1"/>
    <col min="6151" max="6403" width="11.44140625" style="8"/>
    <col min="6404" max="6404" width="12.33203125" style="8" customWidth="1"/>
    <col min="6405" max="6405" width="11.88671875" style="8" customWidth="1"/>
    <col min="6406" max="6406" width="29.5546875" style="8" customWidth="1"/>
    <col min="6407" max="6659" width="11.44140625" style="8"/>
    <col min="6660" max="6660" width="12.33203125" style="8" customWidth="1"/>
    <col min="6661" max="6661" width="11.88671875" style="8" customWidth="1"/>
    <col min="6662" max="6662" width="29.5546875" style="8" customWidth="1"/>
    <col min="6663" max="6915" width="11.44140625" style="8"/>
    <col min="6916" max="6916" width="12.33203125" style="8" customWidth="1"/>
    <col min="6917" max="6917" width="11.88671875" style="8" customWidth="1"/>
    <col min="6918" max="6918" width="29.5546875" style="8" customWidth="1"/>
    <col min="6919" max="7171" width="11.44140625" style="8"/>
    <col min="7172" max="7172" width="12.33203125" style="8" customWidth="1"/>
    <col min="7173" max="7173" width="11.88671875" style="8" customWidth="1"/>
    <col min="7174" max="7174" width="29.5546875" style="8" customWidth="1"/>
    <col min="7175" max="7427" width="11.44140625" style="8"/>
    <col min="7428" max="7428" width="12.33203125" style="8" customWidth="1"/>
    <col min="7429" max="7429" width="11.88671875" style="8" customWidth="1"/>
    <col min="7430" max="7430" width="29.5546875" style="8" customWidth="1"/>
    <col min="7431" max="7683" width="11.44140625" style="8"/>
    <col min="7684" max="7684" width="12.33203125" style="8" customWidth="1"/>
    <col min="7685" max="7685" width="11.88671875" style="8" customWidth="1"/>
    <col min="7686" max="7686" width="29.5546875" style="8" customWidth="1"/>
    <col min="7687" max="7939" width="11.44140625" style="8"/>
    <col min="7940" max="7940" width="12.33203125" style="8" customWidth="1"/>
    <col min="7941" max="7941" width="11.88671875" style="8" customWidth="1"/>
    <col min="7942" max="7942" width="29.5546875" style="8" customWidth="1"/>
    <col min="7943" max="8195" width="11.44140625" style="8"/>
    <col min="8196" max="8196" width="12.33203125" style="8" customWidth="1"/>
    <col min="8197" max="8197" width="11.88671875" style="8" customWidth="1"/>
    <col min="8198" max="8198" width="29.5546875" style="8" customWidth="1"/>
    <col min="8199" max="8451" width="11.44140625" style="8"/>
    <col min="8452" max="8452" width="12.33203125" style="8" customWidth="1"/>
    <col min="8453" max="8453" width="11.88671875" style="8" customWidth="1"/>
    <col min="8454" max="8454" width="29.5546875" style="8" customWidth="1"/>
    <col min="8455" max="8707" width="11.44140625" style="8"/>
    <col min="8708" max="8708" width="12.33203125" style="8" customWidth="1"/>
    <col min="8709" max="8709" width="11.88671875" style="8" customWidth="1"/>
    <col min="8710" max="8710" width="29.5546875" style="8" customWidth="1"/>
    <col min="8711" max="8963" width="11.44140625" style="8"/>
    <col min="8964" max="8964" width="12.33203125" style="8" customWidth="1"/>
    <col min="8965" max="8965" width="11.88671875" style="8" customWidth="1"/>
    <col min="8966" max="8966" width="29.5546875" style="8" customWidth="1"/>
    <col min="8967" max="9219" width="11.44140625" style="8"/>
    <col min="9220" max="9220" width="12.33203125" style="8" customWidth="1"/>
    <col min="9221" max="9221" width="11.88671875" style="8" customWidth="1"/>
    <col min="9222" max="9222" width="29.5546875" style="8" customWidth="1"/>
    <col min="9223" max="9475" width="11.44140625" style="8"/>
    <col min="9476" max="9476" width="12.33203125" style="8" customWidth="1"/>
    <col min="9477" max="9477" width="11.88671875" style="8" customWidth="1"/>
    <col min="9478" max="9478" width="29.5546875" style="8" customWidth="1"/>
    <col min="9479" max="9731" width="11.44140625" style="8"/>
    <col min="9732" max="9732" width="12.33203125" style="8" customWidth="1"/>
    <col min="9733" max="9733" width="11.88671875" style="8" customWidth="1"/>
    <col min="9734" max="9734" width="29.5546875" style="8" customWidth="1"/>
    <col min="9735" max="9987" width="11.44140625" style="8"/>
    <col min="9988" max="9988" width="12.33203125" style="8" customWidth="1"/>
    <col min="9989" max="9989" width="11.88671875" style="8" customWidth="1"/>
    <col min="9990" max="9990" width="29.5546875" style="8" customWidth="1"/>
    <col min="9991" max="10243" width="11.44140625" style="8"/>
    <col min="10244" max="10244" width="12.33203125" style="8" customWidth="1"/>
    <col min="10245" max="10245" width="11.88671875" style="8" customWidth="1"/>
    <col min="10246" max="10246" width="29.5546875" style="8" customWidth="1"/>
    <col min="10247" max="10499" width="11.44140625" style="8"/>
    <col min="10500" max="10500" width="12.33203125" style="8" customWidth="1"/>
    <col min="10501" max="10501" width="11.88671875" style="8" customWidth="1"/>
    <col min="10502" max="10502" width="29.5546875" style="8" customWidth="1"/>
    <col min="10503" max="10755" width="11.44140625" style="8"/>
    <col min="10756" max="10756" width="12.33203125" style="8" customWidth="1"/>
    <col min="10757" max="10757" width="11.88671875" style="8" customWidth="1"/>
    <col min="10758" max="10758" width="29.5546875" style="8" customWidth="1"/>
    <col min="10759" max="11011" width="11.44140625" style="8"/>
    <col min="11012" max="11012" width="12.33203125" style="8" customWidth="1"/>
    <col min="11013" max="11013" width="11.88671875" style="8" customWidth="1"/>
    <col min="11014" max="11014" width="29.5546875" style="8" customWidth="1"/>
    <col min="11015" max="11267" width="11.44140625" style="8"/>
    <col min="11268" max="11268" width="12.33203125" style="8" customWidth="1"/>
    <col min="11269" max="11269" width="11.88671875" style="8" customWidth="1"/>
    <col min="11270" max="11270" width="29.5546875" style="8" customWidth="1"/>
    <col min="11271" max="11523" width="11.44140625" style="8"/>
    <col min="11524" max="11524" width="12.33203125" style="8" customWidth="1"/>
    <col min="11525" max="11525" width="11.88671875" style="8" customWidth="1"/>
    <col min="11526" max="11526" width="29.5546875" style="8" customWidth="1"/>
    <col min="11527" max="11779" width="11.44140625" style="8"/>
    <col min="11780" max="11780" width="12.33203125" style="8" customWidth="1"/>
    <col min="11781" max="11781" width="11.88671875" style="8" customWidth="1"/>
    <col min="11782" max="11782" width="29.5546875" style="8" customWidth="1"/>
    <col min="11783" max="12035" width="11.44140625" style="8"/>
    <col min="12036" max="12036" width="12.33203125" style="8" customWidth="1"/>
    <col min="12037" max="12037" width="11.88671875" style="8" customWidth="1"/>
    <col min="12038" max="12038" width="29.5546875" style="8" customWidth="1"/>
    <col min="12039" max="12291" width="11.44140625" style="8"/>
    <col min="12292" max="12292" width="12.33203125" style="8" customWidth="1"/>
    <col min="12293" max="12293" width="11.88671875" style="8" customWidth="1"/>
    <col min="12294" max="12294" width="29.5546875" style="8" customWidth="1"/>
    <col min="12295" max="12547" width="11.44140625" style="8"/>
    <col min="12548" max="12548" width="12.33203125" style="8" customWidth="1"/>
    <col min="12549" max="12549" width="11.88671875" style="8" customWidth="1"/>
    <col min="12550" max="12550" width="29.5546875" style="8" customWidth="1"/>
    <col min="12551" max="12803" width="11.44140625" style="8"/>
    <col min="12804" max="12804" width="12.33203125" style="8" customWidth="1"/>
    <col min="12805" max="12805" width="11.88671875" style="8" customWidth="1"/>
    <col min="12806" max="12806" width="29.5546875" style="8" customWidth="1"/>
    <col min="12807" max="13059" width="11.44140625" style="8"/>
    <col min="13060" max="13060" width="12.33203125" style="8" customWidth="1"/>
    <col min="13061" max="13061" width="11.88671875" style="8" customWidth="1"/>
    <col min="13062" max="13062" width="29.5546875" style="8" customWidth="1"/>
    <col min="13063" max="13315" width="11.44140625" style="8"/>
    <col min="13316" max="13316" width="12.33203125" style="8" customWidth="1"/>
    <col min="13317" max="13317" width="11.88671875" style="8" customWidth="1"/>
    <col min="13318" max="13318" width="29.5546875" style="8" customWidth="1"/>
    <col min="13319" max="13571" width="11.44140625" style="8"/>
    <col min="13572" max="13572" width="12.33203125" style="8" customWidth="1"/>
    <col min="13573" max="13573" width="11.88671875" style="8" customWidth="1"/>
    <col min="13574" max="13574" width="29.5546875" style="8" customWidth="1"/>
    <col min="13575" max="13827" width="11.44140625" style="8"/>
    <col min="13828" max="13828" width="12.33203125" style="8" customWidth="1"/>
    <col min="13829" max="13829" width="11.88671875" style="8" customWidth="1"/>
    <col min="13830" max="13830" width="29.5546875" style="8" customWidth="1"/>
    <col min="13831" max="14083" width="11.44140625" style="8"/>
    <col min="14084" max="14084" width="12.33203125" style="8" customWidth="1"/>
    <col min="14085" max="14085" width="11.88671875" style="8" customWidth="1"/>
    <col min="14086" max="14086" width="29.5546875" style="8" customWidth="1"/>
    <col min="14087" max="14339" width="11.44140625" style="8"/>
    <col min="14340" max="14340" width="12.33203125" style="8" customWidth="1"/>
    <col min="14341" max="14341" width="11.88671875" style="8" customWidth="1"/>
    <col min="14342" max="14342" width="29.5546875" style="8" customWidth="1"/>
    <col min="14343" max="14595" width="11.44140625" style="8"/>
    <col min="14596" max="14596" width="12.33203125" style="8" customWidth="1"/>
    <col min="14597" max="14597" width="11.88671875" style="8" customWidth="1"/>
    <col min="14598" max="14598" width="29.5546875" style="8" customWidth="1"/>
    <col min="14599" max="14851" width="11.44140625" style="8"/>
    <col min="14852" max="14852" width="12.33203125" style="8" customWidth="1"/>
    <col min="14853" max="14853" width="11.88671875" style="8" customWidth="1"/>
    <col min="14854" max="14854" width="29.5546875" style="8" customWidth="1"/>
    <col min="14855" max="15107" width="11.44140625" style="8"/>
    <col min="15108" max="15108" width="12.33203125" style="8" customWidth="1"/>
    <col min="15109" max="15109" width="11.88671875" style="8" customWidth="1"/>
    <col min="15110" max="15110" width="29.5546875" style="8" customWidth="1"/>
    <col min="15111" max="15363" width="11.44140625" style="8"/>
    <col min="15364" max="15364" width="12.33203125" style="8" customWidth="1"/>
    <col min="15365" max="15365" width="11.88671875" style="8" customWidth="1"/>
    <col min="15366" max="15366" width="29.5546875" style="8" customWidth="1"/>
    <col min="15367" max="15619" width="11.44140625" style="8"/>
    <col min="15620" max="15620" width="12.33203125" style="8" customWidth="1"/>
    <col min="15621" max="15621" width="11.88671875" style="8" customWidth="1"/>
    <col min="15622" max="15622" width="29.5546875" style="8" customWidth="1"/>
    <col min="15623" max="15875" width="11.44140625" style="8"/>
    <col min="15876" max="15876" width="12.33203125" style="8" customWidth="1"/>
    <col min="15877" max="15877" width="11.88671875" style="8" customWidth="1"/>
    <col min="15878" max="15878" width="29.5546875" style="8" customWidth="1"/>
    <col min="15879" max="16131" width="11.44140625" style="8"/>
    <col min="16132" max="16132" width="12.33203125" style="8" customWidth="1"/>
    <col min="16133" max="16133" width="11.88671875" style="8" customWidth="1"/>
    <col min="16134" max="16134" width="29.5546875" style="8" customWidth="1"/>
    <col min="16135" max="16384" width="11.44140625" style="8"/>
  </cols>
  <sheetData>
    <row r="1" spans="5:12">
      <c r="E1" s="221" t="s">
        <v>45</v>
      </c>
    </row>
    <row r="3" spans="5:12" ht="15.6">
      <c r="G3" s="340" t="s">
        <v>41</v>
      </c>
      <c r="H3" s="341"/>
      <c r="I3" s="341"/>
      <c r="J3" s="341"/>
    </row>
    <row r="5" spans="5:12">
      <c r="F5" s="242" t="s">
        <v>179</v>
      </c>
      <c r="G5" s="243" t="s">
        <v>25</v>
      </c>
      <c r="H5" s="244">
        <v>0.9</v>
      </c>
      <c r="I5" s="243" t="s">
        <v>27</v>
      </c>
      <c r="J5" s="244">
        <v>0.7</v>
      </c>
      <c r="K5" s="243" t="s">
        <v>29</v>
      </c>
      <c r="L5" s="243" t="s">
        <v>30</v>
      </c>
    </row>
    <row r="6" spans="5:12" ht="15.6">
      <c r="F6" s="245" t="s">
        <v>192</v>
      </c>
      <c r="G6" s="246" t="s">
        <v>180</v>
      </c>
      <c r="H6" s="246" t="s">
        <v>181</v>
      </c>
      <c r="I6" s="246" t="s">
        <v>182</v>
      </c>
      <c r="J6" s="246" t="s">
        <v>183</v>
      </c>
      <c r="K6" s="246" t="s">
        <v>184</v>
      </c>
      <c r="L6" s="246" t="s">
        <v>185</v>
      </c>
    </row>
    <row r="7" spans="5:12">
      <c r="F7" s="247"/>
      <c r="G7" s="248">
        <f>Inputs!C38</f>
        <v>0</v>
      </c>
      <c r="H7" s="248">
        <f>Inputs!D38</f>
        <v>0</v>
      </c>
      <c r="I7" s="248">
        <f>Inputs!E38</f>
        <v>0</v>
      </c>
      <c r="J7" s="248">
        <f>Inputs!F38</f>
        <v>0</v>
      </c>
      <c r="K7" s="248">
        <f>Inputs!G38</f>
        <v>0</v>
      </c>
      <c r="L7" s="248">
        <f>Inputs!H38</f>
        <v>0</v>
      </c>
    </row>
    <row r="8" spans="5:12" ht="15.6">
      <c r="F8" s="245" t="s">
        <v>193</v>
      </c>
      <c r="G8" s="246" t="s">
        <v>186</v>
      </c>
      <c r="H8" s="246" t="s">
        <v>187</v>
      </c>
      <c r="I8" s="246" t="s">
        <v>188</v>
      </c>
      <c r="J8" s="246" t="s">
        <v>189</v>
      </c>
      <c r="K8" s="246" t="s">
        <v>190</v>
      </c>
      <c r="L8" s="246" t="s">
        <v>191</v>
      </c>
    </row>
    <row r="9" spans="5:12">
      <c r="F9" s="247"/>
      <c r="G9" s="248">
        <f>Inputs!C40</f>
        <v>0</v>
      </c>
      <c r="H9" s="248">
        <f>Inputs!D40</f>
        <v>0</v>
      </c>
      <c r="I9" s="248">
        <f>Inputs!E40</f>
        <v>0</v>
      </c>
      <c r="J9" s="248">
        <f>Inputs!F40</f>
        <v>0</v>
      </c>
      <c r="K9" s="248">
        <f>Inputs!G40</f>
        <v>0</v>
      </c>
      <c r="L9" s="248">
        <f>Inputs!H40</f>
        <v>0</v>
      </c>
    </row>
    <row r="10" spans="5:12">
      <c r="F10" s="249"/>
      <c r="G10" s="250"/>
      <c r="H10" s="250"/>
      <c r="I10" s="250"/>
      <c r="J10" s="251"/>
      <c r="K10" s="250"/>
      <c r="L10" s="250"/>
    </row>
    <row r="11" spans="5:12" ht="15.6">
      <c r="E11" s="345" t="s">
        <v>194</v>
      </c>
      <c r="F11" s="346"/>
      <c r="G11" s="346"/>
      <c r="H11" s="346"/>
      <c r="I11" s="346"/>
      <c r="J11" s="252">
        <f>(30*G7+30*H7+20*I7+10*J7+5*K7+5*L7)/100</f>
        <v>0</v>
      </c>
    </row>
    <row r="12" spans="5:12" ht="15.6">
      <c r="E12" s="345" t="s">
        <v>195</v>
      </c>
      <c r="F12" s="346"/>
      <c r="G12" s="346"/>
      <c r="H12" s="346"/>
      <c r="I12" s="346"/>
      <c r="J12" s="252">
        <f>(30*G9+30*H9+20*I9+10*J9+5*K9+5*L9)/100</f>
        <v>0</v>
      </c>
    </row>
    <row r="13" spans="5:12">
      <c r="E13" s="253"/>
      <c r="F13" s="254"/>
      <c r="G13" s="254"/>
      <c r="H13" s="254"/>
      <c r="I13" s="254"/>
      <c r="J13" s="255"/>
    </row>
    <row r="14" spans="5:12" ht="15" thickBot="1">
      <c r="E14" s="343" t="s">
        <v>42</v>
      </c>
      <c r="F14" s="343"/>
      <c r="G14" s="343"/>
      <c r="H14" s="254"/>
      <c r="I14" s="254"/>
      <c r="J14" s="255"/>
    </row>
    <row r="15" spans="5:12" ht="16.8" thickTop="1" thickBot="1">
      <c r="E15" s="253"/>
      <c r="F15" s="345" t="s">
        <v>68</v>
      </c>
      <c r="G15" s="345"/>
      <c r="H15" s="345"/>
      <c r="I15" s="345"/>
      <c r="J15" s="256">
        <f>(J11+J12)/2</f>
        <v>0</v>
      </c>
    </row>
    <row r="16" spans="5:12" ht="15" thickTop="1">
      <c r="E16" s="253"/>
      <c r="F16" s="254"/>
      <c r="G16" s="254"/>
      <c r="H16" s="254"/>
      <c r="I16" s="254"/>
      <c r="J16" s="255"/>
    </row>
    <row r="19" spans="5:10" ht="15.6">
      <c r="G19" s="340" t="s">
        <v>43</v>
      </c>
      <c r="H19" s="341"/>
      <c r="I19" s="341"/>
      <c r="J19" s="341"/>
    </row>
    <row r="22" spans="5:10" ht="30">
      <c r="F22" s="257" t="s">
        <v>196</v>
      </c>
      <c r="G22" s="258" t="s">
        <v>197</v>
      </c>
      <c r="H22" s="259" t="s">
        <v>199</v>
      </c>
      <c r="I22" s="259" t="s">
        <v>198</v>
      </c>
    </row>
    <row r="23" spans="5:10">
      <c r="F23" s="260">
        <v>286</v>
      </c>
      <c r="G23" s="261">
        <f>Inputs!P37</f>
        <v>0</v>
      </c>
      <c r="H23" s="248">
        <f>Inputs!Q37</f>
        <v>0</v>
      </c>
      <c r="I23" s="248">
        <f>Inputs!R37</f>
        <v>0</v>
      </c>
    </row>
    <row r="24" spans="5:10">
      <c r="F24" s="260">
        <v>270</v>
      </c>
      <c r="G24" s="261">
        <f>Inputs!P38</f>
        <v>0</v>
      </c>
      <c r="H24" s="248">
        <f>Inputs!Q38</f>
        <v>0</v>
      </c>
      <c r="I24" s="248">
        <f>Inputs!R38</f>
        <v>0</v>
      </c>
    </row>
    <row r="25" spans="5:10">
      <c r="F25" s="260">
        <v>254</v>
      </c>
      <c r="G25" s="261">
        <f>Inputs!P39</f>
        <v>0</v>
      </c>
      <c r="H25" s="248">
        <f>Inputs!Q39</f>
        <v>0</v>
      </c>
      <c r="I25" s="248">
        <f>Inputs!R39</f>
        <v>0</v>
      </c>
    </row>
    <row r="26" spans="5:10">
      <c r="F26" s="260">
        <v>238</v>
      </c>
      <c r="G26" s="261">
        <f>Inputs!P40</f>
        <v>0</v>
      </c>
      <c r="H26" s="248">
        <f>Inputs!Q40</f>
        <v>0</v>
      </c>
      <c r="I26" s="248">
        <f>Inputs!R40</f>
        <v>0</v>
      </c>
    </row>
    <row r="27" spans="5:10">
      <c r="F27" s="260">
        <v>222</v>
      </c>
      <c r="G27" s="261">
        <f>Inputs!P41</f>
        <v>0</v>
      </c>
      <c r="H27" s="248">
        <f>Inputs!Q41</f>
        <v>0</v>
      </c>
      <c r="I27" s="248">
        <f>Inputs!R41</f>
        <v>0</v>
      </c>
    </row>
    <row r="29" spans="5:10">
      <c r="E29" s="253"/>
      <c r="F29" s="254"/>
      <c r="G29" s="254"/>
      <c r="H29" s="254"/>
      <c r="I29" s="254"/>
      <c r="J29" s="255"/>
    </row>
    <row r="30" spans="5:10" ht="15" thickBot="1">
      <c r="E30" s="343" t="s">
        <v>44</v>
      </c>
      <c r="F30" s="343"/>
      <c r="G30" s="343"/>
    </row>
    <row r="31" spans="5:10" ht="16.8" thickTop="1" thickBot="1">
      <c r="F31" s="345" t="s">
        <v>200</v>
      </c>
      <c r="G31" s="345"/>
      <c r="H31" s="345"/>
      <c r="I31" s="345"/>
      <c r="J31" s="256">
        <f>(SUM(H23:H27)+SUM(I23:I27))/10</f>
        <v>0</v>
      </c>
    </row>
    <row r="32" spans="5:10" ht="15" thickTop="1"/>
  </sheetData>
  <sheetProtection algorithmName="SHA-512" hashValue="jwl5SqrKpXf0lDvpM1a+IzajZdlJQHh73cLtzGkjVkEef+o3eeN8GpfMrqSqVeik72aWrTjNKrcdcCXYimkpTA==" saltValue="Akdrke5Y9juoJjsAGw8f0A==" spinCount="100000" sheet="1" formatColumns="0" formatRows="0"/>
  <mergeCells count="8">
    <mergeCell ref="F15:I15"/>
    <mergeCell ref="F31:I31"/>
    <mergeCell ref="G3:J3"/>
    <mergeCell ref="E14:G14"/>
    <mergeCell ref="E11:I11"/>
    <mergeCell ref="G19:J19"/>
    <mergeCell ref="E30:G30"/>
    <mergeCell ref="E12:I12"/>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499984740745262"/>
  </sheetPr>
  <dimension ref="B1:J57"/>
  <sheetViews>
    <sheetView showGridLines="0" topLeftCell="A35" zoomScaleNormal="100" workbookViewId="0">
      <selection activeCell="G19" sqref="G19"/>
    </sheetView>
  </sheetViews>
  <sheetFormatPr baseColWidth="10" defaultColWidth="11.5546875" defaultRowHeight="13.2"/>
  <cols>
    <col min="4" max="5" width="11.44140625" customWidth="1"/>
    <col min="6" max="6" width="66.33203125" customWidth="1"/>
    <col min="7" max="7" width="36.88671875" customWidth="1"/>
  </cols>
  <sheetData>
    <row r="1" spans="2:10" ht="15.6">
      <c r="B1" s="204" t="s">
        <v>69</v>
      </c>
    </row>
    <row r="3" spans="2:10" ht="15.75" customHeight="1">
      <c r="E3" s="262"/>
      <c r="F3" s="340" t="s">
        <v>215</v>
      </c>
      <c r="G3" s="341"/>
      <c r="H3" s="262"/>
    </row>
    <row r="5" spans="2:10">
      <c r="J5" s="22"/>
    </row>
    <row r="6" spans="2:10" ht="15.75" customHeight="1">
      <c r="F6" s="263" t="s">
        <v>76</v>
      </c>
      <c r="G6" s="263" t="s">
        <v>77</v>
      </c>
    </row>
    <row r="7" spans="2:10" ht="18">
      <c r="F7" s="264" t="s">
        <v>204</v>
      </c>
      <c r="G7" s="265">
        <f>Inputs!G46</f>
        <v>0</v>
      </c>
    </row>
    <row r="8" spans="2:10" ht="18">
      <c r="F8" s="264" t="s">
        <v>78</v>
      </c>
      <c r="G8" s="265">
        <f>Inputs!G47</f>
        <v>0</v>
      </c>
    </row>
    <row r="9" spans="2:10" ht="18">
      <c r="F9" s="264" t="s">
        <v>79</v>
      </c>
      <c r="G9" s="265">
        <f>Inputs!G48</f>
        <v>0</v>
      </c>
    </row>
    <row r="10" spans="2:10" ht="18">
      <c r="F10" s="264" t="s">
        <v>205</v>
      </c>
      <c r="G10" s="265">
        <f>Inputs!G49</f>
        <v>0</v>
      </c>
    </row>
    <row r="11" spans="2:10" ht="18">
      <c r="F11" s="264" t="s">
        <v>206</v>
      </c>
      <c r="G11" s="265">
        <f>Inputs!G50</f>
        <v>0</v>
      </c>
    </row>
    <row r="12" spans="2:10" ht="18">
      <c r="F12" s="264" t="s">
        <v>207</v>
      </c>
      <c r="G12" s="265">
        <f>Inputs!G51</f>
        <v>0</v>
      </c>
    </row>
    <row r="13" spans="2:10" ht="18">
      <c r="F13" s="264" t="s">
        <v>208</v>
      </c>
      <c r="G13" s="265">
        <f>Inputs!G52</f>
        <v>0</v>
      </c>
    </row>
    <row r="14" spans="2:10" ht="18">
      <c r="F14" s="264" t="s">
        <v>209</v>
      </c>
      <c r="G14" s="265">
        <f>Inputs!G53</f>
        <v>0</v>
      </c>
    </row>
    <row r="15" spans="2:10" ht="18">
      <c r="F15" s="264" t="s">
        <v>210</v>
      </c>
      <c r="G15" s="265">
        <f>Inputs!G54</f>
        <v>0</v>
      </c>
    </row>
    <row r="16" spans="2:10" ht="18">
      <c r="F16" s="264" t="s">
        <v>211</v>
      </c>
      <c r="G16" s="265">
        <f>Inputs!G55</f>
        <v>0</v>
      </c>
    </row>
    <row r="17" spans="4:7" ht="18">
      <c r="F17" s="264" t="s">
        <v>212</v>
      </c>
      <c r="G17" s="265">
        <f>Inputs!G56</f>
        <v>0</v>
      </c>
    </row>
    <row r="18" spans="4:7" ht="18">
      <c r="F18" s="263" t="s">
        <v>213</v>
      </c>
      <c r="G18" s="265">
        <f>SUM(G7:G17)</f>
        <v>0</v>
      </c>
    </row>
    <row r="19" spans="4:7" ht="18">
      <c r="F19" s="263" t="s">
        <v>214</v>
      </c>
      <c r="G19" s="266">
        <f>G21*G22*G18*(0.4+0.6/G23)</f>
        <v>0</v>
      </c>
    </row>
    <row r="20" spans="4:7" ht="15.6">
      <c r="F20" s="264"/>
      <c r="G20" s="265"/>
    </row>
    <row r="21" spans="4:7" ht="15.6">
      <c r="F21" s="267" t="s">
        <v>202</v>
      </c>
      <c r="G21" s="265">
        <f>Inputs!C58</f>
        <v>0.9</v>
      </c>
    </row>
    <row r="22" spans="4:7" ht="15.6">
      <c r="F22" s="267" t="s">
        <v>203</v>
      </c>
      <c r="G22" s="265">
        <f>Inputs!C59</f>
        <v>0.7</v>
      </c>
    </row>
    <row r="23" spans="4:7" ht="15.6">
      <c r="F23" s="267" t="s">
        <v>201</v>
      </c>
      <c r="G23" s="268">
        <f>Inputs!C60</f>
        <v>2</v>
      </c>
    </row>
    <row r="30" spans="4:7">
      <c r="D30" s="22"/>
    </row>
    <row r="34" spans="5:8" ht="15.75" customHeight="1">
      <c r="E34" s="262"/>
      <c r="F34" s="340" t="s">
        <v>119</v>
      </c>
      <c r="G34" s="341"/>
      <c r="H34" s="262"/>
    </row>
    <row r="37" spans="5:8" ht="15.6">
      <c r="F37" s="263" t="s">
        <v>81</v>
      </c>
      <c r="G37" s="263" t="s">
        <v>77</v>
      </c>
    </row>
    <row r="38" spans="5:8" ht="18">
      <c r="F38" s="269" t="s">
        <v>216</v>
      </c>
      <c r="G38" s="270">
        <f>Inputs!R46</f>
        <v>0</v>
      </c>
    </row>
    <row r="39" spans="5:8" ht="18">
      <c r="F39" s="269" t="s">
        <v>217</v>
      </c>
      <c r="G39" s="270">
        <f>Inputs!R47</f>
        <v>0</v>
      </c>
    </row>
    <row r="40" spans="5:8" ht="18">
      <c r="F40" s="269" t="s">
        <v>218</v>
      </c>
      <c r="G40" s="270">
        <f>Inputs!R48</f>
        <v>0</v>
      </c>
    </row>
    <row r="41" spans="5:8" ht="18">
      <c r="F41" s="269" t="s">
        <v>219</v>
      </c>
      <c r="G41" s="270">
        <f>Inputs!R49</f>
        <v>0</v>
      </c>
    </row>
    <row r="42" spans="5:8" ht="18">
      <c r="F42" s="269" t="s">
        <v>220</v>
      </c>
      <c r="G42" s="270">
        <f>Inputs!R50</f>
        <v>0</v>
      </c>
    </row>
    <row r="43" spans="5:8" ht="18">
      <c r="F43" s="269" t="s">
        <v>221</v>
      </c>
      <c r="G43" s="270">
        <f>Inputs!R51</f>
        <v>0</v>
      </c>
    </row>
    <row r="44" spans="5:8" ht="18">
      <c r="F44" s="269" t="s">
        <v>222</v>
      </c>
      <c r="G44" s="270">
        <f>Inputs!R52</f>
        <v>0</v>
      </c>
    </row>
    <row r="45" spans="5:8" ht="18">
      <c r="F45" s="271" t="s">
        <v>83</v>
      </c>
      <c r="G45" s="270">
        <f>Inputs!R53</f>
        <v>0</v>
      </c>
    </row>
    <row r="46" spans="5:8" ht="18">
      <c r="F46" s="263" t="s">
        <v>223</v>
      </c>
      <c r="G46" s="265">
        <f>SUM(G38:G45)</f>
        <v>0</v>
      </c>
    </row>
    <row r="47" spans="5:8" ht="18">
      <c r="F47" s="263" t="s">
        <v>225</v>
      </c>
      <c r="G47" s="265">
        <f>G49*G50*G46</f>
        <v>0</v>
      </c>
    </row>
    <row r="48" spans="5:8" ht="15.6">
      <c r="F48" s="264"/>
      <c r="G48" s="265"/>
    </row>
    <row r="49" spans="6:7" ht="15.6">
      <c r="F49" s="267" t="s">
        <v>224</v>
      </c>
      <c r="G49" s="265">
        <f>Inputs!P55</f>
        <v>0.9</v>
      </c>
    </row>
    <row r="50" spans="6:7" ht="15.6">
      <c r="F50" s="267" t="s">
        <v>226</v>
      </c>
      <c r="G50" s="265">
        <f>Inputs!P56</f>
        <v>0.7</v>
      </c>
    </row>
    <row r="54" spans="6:7" ht="13.8" thickBot="1"/>
    <row r="55" spans="6:7" ht="34.799999999999997" thickTop="1" thickBot="1">
      <c r="F55" s="272" t="s">
        <v>84</v>
      </c>
      <c r="G55" s="273">
        <f>G47+G19</f>
        <v>0</v>
      </c>
    </row>
    <row r="56" spans="6:7" ht="13.8" thickTop="1"/>
    <row r="57" spans="6:7" ht="15.6">
      <c r="F57" s="125" t="s">
        <v>227</v>
      </c>
    </row>
  </sheetData>
  <sheetProtection algorithmName="SHA-512" hashValue="L6KRilBkkxW10IXpy2piI877NHnZlGjosNzJ6hIGpbnt020ozFb7NqZ7nlEay1yeE9S2uEtIheQwdaq0mvYoog==" saltValue="AFkRLQNhI+uvF4c23CURjQ==" spinCount="100000" sheet="1" formatColumns="0" formatRows="0"/>
  <mergeCells count="2">
    <mergeCell ref="F34:G34"/>
    <mergeCell ref="F3:G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499984740745262"/>
  </sheetPr>
  <dimension ref="A1:J37"/>
  <sheetViews>
    <sheetView showGridLines="0" tabSelected="1" zoomScaleNormal="100" workbookViewId="0">
      <selection activeCell="N25" sqref="N25"/>
    </sheetView>
  </sheetViews>
  <sheetFormatPr baseColWidth="10" defaultColWidth="11.5546875" defaultRowHeight="13.2"/>
  <cols>
    <col min="5" max="5" width="24.33203125" customWidth="1"/>
    <col min="6" max="7" width="14.109375" bestFit="1" customWidth="1"/>
    <col min="8" max="8" width="15.33203125" bestFit="1" customWidth="1"/>
  </cols>
  <sheetData>
    <row r="1" spans="1:9" ht="14.4">
      <c r="A1" s="221" t="s">
        <v>70</v>
      </c>
    </row>
    <row r="3" spans="1:9" ht="15.75" customHeight="1">
      <c r="D3" s="340" t="s">
        <v>71</v>
      </c>
      <c r="E3" s="341"/>
      <c r="F3" s="341"/>
      <c r="G3" s="341"/>
      <c r="H3" s="341"/>
      <c r="I3" s="341"/>
    </row>
    <row r="6" spans="1:9" ht="15.6">
      <c r="C6" s="246" t="s">
        <v>228</v>
      </c>
      <c r="D6" s="274">
        <f>Inputs!C65</f>
        <v>0</v>
      </c>
    </row>
    <row r="7" spans="1:9" ht="15.6">
      <c r="C7" s="125"/>
      <c r="D7" s="127"/>
      <c r="E7" s="275"/>
      <c r="F7" s="348" t="s">
        <v>62</v>
      </c>
      <c r="G7" s="348"/>
      <c r="H7" s="348"/>
    </row>
    <row r="8" spans="1:9" ht="15.6">
      <c r="C8" s="276"/>
      <c r="D8" s="277"/>
      <c r="E8" s="278"/>
      <c r="F8" s="279" t="s">
        <v>63</v>
      </c>
      <c r="G8" s="279" t="s">
        <v>64</v>
      </c>
      <c r="H8" s="279" t="s">
        <v>65</v>
      </c>
    </row>
    <row r="9" spans="1:9" ht="15.75" customHeight="1">
      <c r="C9" s="347" t="s">
        <v>85</v>
      </c>
      <c r="D9" s="347"/>
      <c r="E9" s="347"/>
      <c r="F9" s="280">
        <f>Inputs!E68</f>
        <v>0</v>
      </c>
      <c r="G9" s="280">
        <f>Inputs!F68</f>
        <v>0</v>
      </c>
      <c r="H9" s="280">
        <f>Inputs!G68</f>
        <v>0</v>
      </c>
    </row>
    <row r="10" spans="1:9" ht="13.95" customHeight="1">
      <c r="C10" s="347" t="s">
        <v>72</v>
      </c>
      <c r="D10" s="347"/>
      <c r="E10" s="347"/>
      <c r="F10" s="280">
        <f>Inputs!E69</f>
        <v>0</v>
      </c>
      <c r="G10" s="280">
        <f>Inputs!F69</f>
        <v>0</v>
      </c>
      <c r="H10" s="280">
        <f>Inputs!G69</f>
        <v>0</v>
      </c>
    </row>
    <row r="11" spans="1:9" ht="13.95" customHeight="1">
      <c r="C11" s="347" t="s">
        <v>73</v>
      </c>
      <c r="D11" s="347"/>
      <c r="E11" s="347"/>
      <c r="F11" s="280">
        <f>Inputs!E70</f>
        <v>0</v>
      </c>
      <c r="G11" s="280">
        <f>Inputs!F70</f>
        <v>0</v>
      </c>
      <c r="H11" s="280">
        <f>Inputs!G70</f>
        <v>0</v>
      </c>
    </row>
    <row r="12" spans="1:9" ht="13.95" customHeight="1">
      <c r="C12" s="347" t="s">
        <v>66</v>
      </c>
      <c r="D12" s="347"/>
      <c r="E12" s="347"/>
      <c r="F12" s="281">
        <f>F10+F11</f>
        <v>0</v>
      </c>
      <c r="G12" s="281">
        <f t="shared" ref="G12:H12" si="0">G10+G11</f>
        <v>0</v>
      </c>
      <c r="H12" s="281">
        <f t="shared" si="0"/>
        <v>0</v>
      </c>
    </row>
    <row r="13" spans="1:9" ht="15" customHeight="1">
      <c r="C13" s="347" t="s">
        <v>229</v>
      </c>
      <c r="D13" s="347"/>
      <c r="E13" s="347"/>
      <c r="F13" s="282" t="e">
        <f>(F9-F12)/F9</f>
        <v>#DIV/0!</v>
      </c>
      <c r="G13" s="282" t="e">
        <f t="shared" ref="G13:H13" si="1">(G9-G12)/G9</f>
        <v>#DIV/0!</v>
      </c>
      <c r="H13" s="282" t="e">
        <f t="shared" si="1"/>
        <v>#DIV/0!</v>
      </c>
    </row>
    <row r="17" spans="3:10" ht="15" thickBot="1">
      <c r="D17" s="125" t="s">
        <v>230</v>
      </c>
    </row>
    <row r="18" spans="3:10" ht="16.8" thickTop="1" thickBot="1">
      <c r="E18" s="22" t="s">
        <v>231</v>
      </c>
      <c r="G18" s="283" t="e">
        <f>+(20*H13+50*G13+30*F13)/100</f>
        <v>#DIV/0!</v>
      </c>
    </row>
    <row r="19" spans="3:10" ht="13.8" thickTop="1"/>
    <row r="22" spans="3:10" ht="15.6">
      <c r="D22" s="340" t="s">
        <v>74</v>
      </c>
      <c r="E22" s="341"/>
      <c r="F22" s="341"/>
      <c r="G22" s="341"/>
      <c r="H22" s="341"/>
      <c r="I22" s="341"/>
    </row>
    <row r="24" spans="3:10" ht="15.6">
      <c r="C24" s="246" t="s">
        <v>228</v>
      </c>
      <c r="D24" s="274">
        <f>Inputs!P65</f>
        <v>0</v>
      </c>
    </row>
    <row r="25" spans="3:10" ht="15.6">
      <c r="C25" s="125"/>
      <c r="D25" s="127"/>
      <c r="E25" s="127"/>
      <c r="F25" s="284" t="s">
        <v>232</v>
      </c>
      <c r="G25" s="284" t="s">
        <v>232</v>
      </c>
      <c r="H25" s="284" t="s">
        <v>232</v>
      </c>
      <c r="I25" s="284" t="s">
        <v>232</v>
      </c>
      <c r="J25" s="284" t="s">
        <v>232</v>
      </c>
    </row>
    <row r="26" spans="3:10" ht="13.95" customHeight="1">
      <c r="C26" s="15"/>
      <c r="D26" s="127"/>
      <c r="E26" s="275"/>
      <c r="F26" s="285">
        <v>286</v>
      </c>
      <c r="G26" s="285">
        <v>270</v>
      </c>
      <c r="H26" s="285">
        <v>254</v>
      </c>
      <c r="I26" s="285">
        <v>238</v>
      </c>
      <c r="J26" s="285">
        <v>222</v>
      </c>
    </row>
    <row r="27" spans="3:10" ht="13.95" customHeight="1">
      <c r="C27" s="347" t="s">
        <v>233</v>
      </c>
      <c r="D27" s="347"/>
      <c r="E27" s="347"/>
      <c r="F27" s="280">
        <f>Inputs!R68</f>
        <v>0</v>
      </c>
      <c r="G27" s="280">
        <f>Inputs!S68</f>
        <v>0</v>
      </c>
      <c r="H27" s="280">
        <f>Inputs!T68</f>
        <v>0</v>
      </c>
      <c r="I27" s="280">
        <f>Inputs!U68</f>
        <v>0</v>
      </c>
      <c r="J27" s="280">
        <f>Inputs!V68</f>
        <v>0</v>
      </c>
    </row>
    <row r="28" spans="3:10" ht="13.95" customHeight="1">
      <c r="C28" s="347" t="s">
        <v>72</v>
      </c>
      <c r="D28" s="347"/>
      <c r="E28" s="347"/>
      <c r="F28" s="280">
        <f>Inputs!R69</f>
        <v>0</v>
      </c>
      <c r="G28" s="280">
        <f>Inputs!S69</f>
        <v>0</v>
      </c>
      <c r="H28" s="280">
        <f>Inputs!T69</f>
        <v>0</v>
      </c>
      <c r="I28" s="280">
        <f>Inputs!U69</f>
        <v>0</v>
      </c>
      <c r="J28" s="280">
        <f>Inputs!V69</f>
        <v>0</v>
      </c>
    </row>
    <row r="29" spans="3:10" ht="13.95" customHeight="1">
      <c r="C29" s="347" t="s">
        <v>73</v>
      </c>
      <c r="D29" s="347"/>
      <c r="E29" s="347"/>
      <c r="F29" s="280">
        <f>Inputs!R70</f>
        <v>0</v>
      </c>
      <c r="G29" s="280">
        <f>Inputs!S70</f>
        <v>0</v>
      </c>
      <c r="H29" s="280">
        <f>Inputs!T70</f>
        <v>0</v>
      </c>
      <c r="I29" s="280">
        <f>Inputs!U70</f>
        <v>0</v>
      </c>
      <c r="J29" s="280">
        <f>Inputs!V70</f>
        <v>0</v>
      </c>
    </row>
    <row r="30" spans="3:10" ht="13.95" customHeight="1">
      <c r="C30" s="347" t="s">
        <v>66</v>
      </c>
      <c r="D30" s="347"/>
      <c r="E30" s="347"/>
      <c r="F30" s="281">
        <f>F28+F29</f>
        <v>0</v>
      </c>
      <c r="G30" s="281">
        <f t="shared" ref="G30:J30" si="2">G28+G29</f>
        <v>0</v>
      </c>
      <c r="H30" s="281">
        <f t="shared" si="2"/>
        <v>0</v>
      </c>
      <c r="I30" s="281">
        <f t="shared" si="2"/>
        <v>0</v>
      </c>
      <c r="J30" s="281">
        <f t="shared" si="2"/>
        <v>0</v>
      </c>
    </row>
    <row r="31" spans="3:10" ht="13.8">
      <c r="C31" s="347" t="s">
        <v>234</v>
      </c>
      <c r="D31" s="347"/>
      <c r="E31" s="347"/>
      <c r="F31" s="281" t="e">
        <f>(F27-F30)/F27</f>
        <v>#DIV/0!</v>
      </c>
      <c r="G31" s="281" t="e">
        <f t="shared" ref="G31:J31" si="3">(G27-G30)/G27</f>
        <v>#DIV/0!</v>
      </c>
      <c r="H31" s="281" t="e">
        <f t="shared" si="3"/>
        <v>#DIV/0!</v>
      </c>
      <c r="I31" s="281" t="e">
        <f t="shared" si="3"/>
        <v>#DIV/0!</v>
      </c>
      <c r="J31" s="281" t="e">
        <f t="shared" si="3"/>
        <v>#DIV/0!</v>
      </c>
    </row>
    <row r="35" spans="4:7" ht="15" thickBot="1">
      <c r="D35" s="125" t="s">
        <v>230</v>
      </c>
    </row>
    <row r="36" spans="4:7" ht="16.8" thickTop="1" thickBot="1">
      <c r="E36" s="22" t="s">
        <v>235</v>
      </c>
      <c r="G36" s="283" t="e">
        <f>+(SUM(F31:J31)/5)</f>
        <v>#DIV/0!</v>
      </c>
    </row>
    <row r="37" spans="4:7" ht="13.8" thickTop="1"/>
  </sheetData>
  <sheetProtection algorithmName="SHA-512" hashValue="NW+50mHQKx95I7L1gjZPaPVUZXRWwuH6JobVLTXnZ1wS4UacmkC9NOZsJVNv6Ex5h/TJP1ySccbLv+ssGnsZGQ==" saltValue="owBX6Jw2ase8BwpmVnN4Hw==" spinCount="100000" sheet="1" formatColumns="0" formatRows="0"/>
  <mergeCells count="13">
    <mergeCell ref="D3:I3"/>
    <mergeCell ref="C31:E31"/>
    <mergeCell ref="F7:H7"/>
    <mergeCell ref="C10:E10"/>
    <mergeCell ref="C11:E11"/>
    <mergeCell ref="C12:E12"/>
    <mergeCell ref="C9:E9"/>
    <mergeCell ref="C29:E29"/>
    <mergeCell ref="C30:E30"/>
    <mergeCell ref="C13:E13"/>
    <mergeCell ref="D22:I22"/>
    <mergeCell ref="C27:E27"/>
    <mergeCell ref="C28:E2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91BDD53F96A6042AFE7F45524A06B4F" ma:contentTypeVersion="13" ma:contentTypeDescription="Crée un document." ma:contentTypeScope="" ma:versionID="410fc9945c417acac141b592d030fce1">
  <xsd:schema xmlns:xsd="http://www.w3.org/2001/XMLSchema" xmlns:xs="http://www.w3.org/2001/XMLSchema" xmlns:p="http://schemas.microsoft.com/office/2006/metadata/properties" xmlns:ns3="804145f3-f4d2-4390-a97b-db28190cd244" xmlns:ns4="a514aa60-f149-4afb-a1c8-3e5c8c2c456d" targetNamespace="http://schemas.microsoft.com/office/2006/metadata/properties" ma:root="true" ma:fieldsID="13d11e4d10d2d8dd20a5d1bcf32763b0" ns3:_="" ns4:_="">
    <xsd:import namespace="804145f3-f4d2-4390-a97b-db28190cd244"/>
    <xsd:import namespace="a514aa60-f149-4afb-a1c8-3e5c8c2c456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SearchProperties" minOccurs="0"/>
                <xsd:element ref="ns4:MediaServiceObjectDetectorVersions" minOccurs="0"/>
                <xsd:element ref="ns4:_activity" minOccurs="0"/>
                <xsd:element ref="ns4:MediaServiceSystemTags" minOccurs="0"/>
                <xsd:element ref="ns4:MediaServiceGenerationTime" minOccurs="0"/>
                <xsd:element ref="ns4:MediaServiceEventHashCode"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4145f3-f4d2-4390-a97b-db28190cd244"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element name="SharingHintHash" ma:index="10" nillable="true" ma:displayName="Partage du hachage d’indicateu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14aa60-f149-4afb-a1c8-3e5c8c2c456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a514aa60-f149-4afb-a1c8-3e5c8c2c456d" xsi:nil="true"/>
  </documentManagement>
</p:properties>
</file>

<file path=customXml/itemProps1.xml><?xml version="1.0" encoding="utf-8"?>
<ds:datastoreItem xmlns:ds="http://schemas.openxmlformats.org/officeDocument/2006/customXml" ds:itemID="{605C829A-94EF-445C-A877-695A4331B48E}">
  <ds:schemaRefs>
    <ds:schemaRef ds:uri="http://schemas.microsoft.com/sharepoint/v3/contenttype/forms"/>
  </ds:schemaRefs>
</ds:datastoreItem>
</file>

<file path=customXml/itemProps2.xml><?xml version="1.0" encoding="utf-8"?>
<ds:datastoreItem xmlns:ds="http://schemas.openxmlformats.org/officeDocument/2006/customXml" ds:itemID="{79D62FF1-678B-49C6-9580-8C407A0887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4145f3-f4d2-4390-a97b-db28190cd244"/>
    <ds:schemaRef ds:uri="a514aa60-f149-4afb-a1c8-3e5c8c2c45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558033-AB7D-41C9-B83A-BA02C7AB3F74}">
  <ds:schemaRefs>
    <ds:schemaRef ds:uri="http://www.w3.org/XML/1998/namespace"/>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http://purl.org/dc/terms/"/>
    <ds:schemaRef ds:uri="http://purl.org/dc/elements/1.1/"/>
    <ds:schemaRef ds:uri="a514aa60-f149-4afb-a1c8-3e5c8c2c456d"/>
    <ds:schemaRef ds:uri="804145f3-f4d2-4390-a97b-db28190cd24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2</vt:i4>
      </vt:variant>
    </vt:vector>
  </HeadingPairs>
  <TitlesOfParts>
    <vt:vector size="11" baseType="lpstr">
      <vt:lpstr>Général</vt:lpstr>
      <vt:lpstr>Inputs</vt:lpstr>
      <vt:lpstr>Calcul du CMA du kWh</vt:lpstr>
      <vt:lpstr>Calcul Wp et Wt</vt:lpstr>
      <vt:lpstr>Tableaux I</vt:lpstr>
      <vt:lpstr>Tableaux II</vt:lpstr>
      <vt:lpstr>Tableaux III</vt:lpstr>
      <vt:lpstr>Tableaux IV</vt:lpstr>
      <vt:lpstr>Tableaux V</vt:lpstr>
      <vt:lpstr>'Calcul Wp et Wt'!_Toc203478608</vt:lpstr>
      <vt:lpstr>'Calcul Wp et Wt'!_Toc203478609</vt:lpstr>
    </vt:vector>
  </TitlesOfParts>
  <Company>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ONEE</dc:creator>
  <cp:lastModifiedBy>LAMRABET RAILLANI Hamid</cp:lastModifiedBy>
  <cp:lastPrinted>2026-07-02T16:02:00Z</cp:lastPrinted>
  <dcterms:created xsi:type="dcterms:W3CDTF">2008-05-29T17:59:06Z</dcterms:created>
  <dcterms:modified xsi:type="dcterms:W3CDTF">2026-07-02T16:03:25Z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0x010100E91BDD53F96A6042AFE7F45524A06B4F</vt:lpwstr>
  </property>
</Properties>
</file>