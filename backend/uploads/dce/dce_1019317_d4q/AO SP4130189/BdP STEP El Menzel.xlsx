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admin\Desktop\AO SP4130189\"/>
    </mc:Choice>
  </mc:AlternateContent>
  <xr:revisionPtr revIDLastSave="0" documentId="8_{AF72BEE9-4FB4-4F3C-9722-8DB50F743CA4}" xr6:coauthVersionLast="47" xr6:coauthVersionMax="47" xr10:uidLastSave="{00000000-0000-0000-0000-000000000000}"/>
  <bookViews>
    <workbookView xWindow="-110" yWindow="-110" windowWidth="19420" windowHeight="10300" firstSheet="1" activeTab="3" xr2:uid="{00000000-000D-0000-FFFF-FFFF00000000}"/>
  </bookViews>
  <sheets>
    <sheet name="Bordereau N°1" sheetId="2" r:id="rId1"/>
    <sheet name="Bordereau N°2" sheetId="3" r:id="rId2"/>
    <sheet name="Bordereau N°3" sheetId="4" r:id="rId3"/>
    <sheet name="Bordereau N°4" sheetId="5" r:id="rId4"/>
    <sheet name="Bordereau N°5" sheetId="6" r:id="rId5"/>
    <sheet name="Bordereau N°6" sheetId="7" r:id="rId6"/>
  </sheets>
  <definedNames>
    <definedName name="_xlnm._FilterDatabase" localSheetId="0" hidden="1">'Bordereau N°1'!$A$1:$G$127</definedName>
    <definedName name="_xlnm._FilterDatabase" localSheetId="1" hidden="1">'Bordereau N°2'!$A$1:$G$126</definedName>
    <definedName name="_xlnm._FilterDatabase" localSheetId="3" hidden="1">'Bordereau N°4'!$A$2:$H$157</definedName>
    <definedName name="_Toc419272596" localSheetId="0">'Bordereau N°1'!$A$2</definedName>
    <definedName name="_Toc419272598" localSheetId="2">'Bordereau N°3'!$A$2</definedName>
    <definedName name="_xlnm.Print_Titles" localSheetId="0">'Bordereau N°1'!$1:$6</definedName>
    <definedName name="_xlnm.Print_Titles" localSheetId="1">'Bordereau N°2'!$1:$6</definedName>
    <definedName name="_xlnm.Print_Titles" localSheetId="3">'Bordereau N°4'!$1:$6</definedName>
    <definedName name="_xlnm.Print_Area" localSheetId="0">'Bordereau N°1'!$A$2:$G$108</definedName>
    <definedName name="_xlnm.Print_Area" localSheetId="1">'Bordereau N°2'!$A$1:$G$107</definedName>
    <definedName name="_xlnm.Print_Area" localSheetId="2">'Bordereau N°3'!$A$1:$T$14</definedName>
    <definedName name="_xlnm.Print_Area" localSheetId="3">'Bordereau N°4'!$I$99</definedName>
    <definedName name="_xlnm.Print_Area" localSheetId="4">'Bordereau N°5'!$A$1:$E$10</definedName>
    <definedName name="_xlnm.Print_Area" localSheetId="5">'Bordereau N°6'!$A$1:$H$13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3" i="7" l="1"/>
  <c r="H31" i="7"/>
  <c r="H34" i="7" l="1"/>
</calcChain>
</file>

<file path=xl/sharedStrings.xml><?xml version="1.0" encoding="utf-8"?>
<sst xmlns="http://schemas.openxmlformats.org/spreadsheetml/2006/main" count="1447" uniqueCount="791">
  <si>
    <t xml:space="preserve"> Poste</t>
  </si>
  <si>
    <t xml:space="preserve"> MATERIEL COMPLEMENTAIRE</t>
  </si>
  <si>
    <t xml:space="preserve"> Matériel informatique</t>
  </si>
  <si>
    <t xml:space="preserve"> Matériel de sécurité</t>
  </si>
  <si>
    <t xml:space="preserve"> Equipement de mesure et de contrôle</t>
  </si>
  <si>
    <t xml:space="preserve"> Mobilier</t>
  </si>
  <si>
    <t xml:space="preserve"> Serrures</t>
  </si>
  <si>
    <t>Bordereau N°1 : Matériels, équipements, y compris les pièces de rechange obligatoires d’origine étrangère</t>
  </si>
  <si>
    <t>Libellé</t>
  </si>
  <si>
    <t>Qté.</t>
  </si>
  <si>
    <t>Unité.</t>
  </si>
  <si>
    <t>(1) x (2)</t>
  </si>
  <si>
    <t>Total 1.1</t>
  </si>
  <si>
    <t>Total 1.2</t>
  </si>
  <si>
    <t>Total 1.3</t>
  </si>
  <si>
    <t xml:space="preserve"> Libellé</t>
  </si>
  <si>
    <t>(1)</t>
  </si>
  <si>
    <t>(2)</t>
  </si>
  <si>
    <t xml:space="preserve"> 1.4</t>
  </si>
  <si>
    <t xml:space="preserve"> 1.4.01</t>
  </si>
  <si>
    <t xml:space="preserve"> 1.4.02</t>
  </si>
  <si>
    <t xml:space="preserve"> 1.4.03</t>
  </si>
  <si>
    <t xml:space="preserve"> 1.4.04</t>
  </si>
  <si>
    <t xml:space="preserve"> 1.4.05</t>
  </si>
  <si>
    <t>Total 1.4</t>
  </si>
  <si>
    <t>TOTAL GENERAL (à reprendre dans le bordereau récapitulatif N°5)</t>
  </si>
  <si>
    <t>Code</t>
  </si>
  <si>
    <t>Bordereau N°5: Récapitulatif</t>
  </si>
  <si>
    <t>MAD</t>
  </si>
  <si>
    <t xml:space="preserve">    TOTAL GENERAL DES BORDEREAUX, (à reprendre dans la lettre d’offre))</t>
  </si>
  <si>
    <r>
      <t xml:space="preserve"> Total Bordereau N</t>
    </r>
    <r>
      <rPr>
        <vertAlign val="superscript"/>
        <sz val="11"/>
        <color theme="1"/>
        <rFont val="Calibri"/>
        <family val="2"/>
      </rPr>
      <t>o</t>
    </r>
    <r>
      <rPr>
        <sz val="11"/>
        <color theme="1"/>
        <rFont val="Calibri"/>
        <family val="2"/>
      </rPr>
      <t xml:space="preserve">1.
 Matériels, équipements, y compris pièces de rechange obligatoires en provenance d’un pays autre que celui du Maître de l’Ouvrage.  </t>
    </r>
  </si>
  <si>
    <r>
      <t xml:space="preserve"> Total Bordereau N</t>
    </r>
    <r>
      <rPr>
        <vertAlign val="superscript"/>
        <sz val="11"/>
        <color theme="1"/>
        <rFont val="Calibri"/>
        <family val="2"/>
      </rPr>
      <t>o</t>
    </r>
    <r>
      <rPr>
        <sz val="11"/>
        <color theme="1"/>
        <rFont val="Calibri"/>
        <family val="2"/>
      </rPr>
      <t xml:space="preserve">2. 
 Matériels, équipements, y compris pièces de rechange obligatoires en provenance du pays du Maître de l’Ouvrage. </t>
    </r>
  </si>
  <si>
    <r>
      <t xml:space="preserve"> Total Bordereau N</t>
    </r>
    <r>
      <rPr>
        <vertAlign val="superscript"/>
        <sz val="11"/>
        <color theme="1"/>
        <rFont val="Calibri"/>
        <family val="2"/>
      </rPr>
      <t>o</t>
    </r>
    <r>
      <rPr>
        <sz val="11"/>
        <color theme="1"/>
        <rFont val="Calibri"/>
        <family val="2"/>
      </rPr>
      <t>3. 
 Services de conception</t>
    </r>
  </si>
  <si>
    <r>
      <t xml:space="preserve"> Total Bordereau N</t>
    </r>
    <r>
      <rPr>
        <vertAlign val="superscript"/>
        <sz val="11"/>
        <color theme="1"/>
        <rFont val="Calibri"/>
        <family val="2"/>
      </rPr>
      <t>o</t>
    </r>
    <r>
      <rPr>
        <sz val="11"/>
        <color theme="1"/>
        <rFont val="Calibri"/>
        <family val="2"/>
      </rPr>
      <t>4. 
 Services de montage et autres services</t>
    </r>
  </si>
  <si>
    <t>Bordereau N°2 : Matériels, équipements, y compris les pièces de rechange obligatoires d’origine locale</t>
  </si>
  <si>
    <t xml:space="preserve"> 2.4</t>
  </si>
  <si>
    <t xml:space="preserve"> 2.4.01</t>
  </si>
  <si>
    <t xml:space="preserve"> 2.4.02</t>
  </si>
  <si>
    <t xml:space="preserve"> 2.4.03</t>
  </si>
  <si>
    <t xml:space="preserve"> 2.4.04</t>
  </si>
  <si>
    <t xml:space="preserve"> 2.4.05</t>
  </si>
  <si>
    <t>Total 2.2</t>
  </si>
  <si>
    <t>Total 2.3</t>
  </si>
  <si>
    <t>Total 2.4</t>
  </si>
  <si>
    <t>Bordereau N°3 : Services de conception</t>
  </si>
  <si>
    <t>Poste</t>
  </si>
  <si>
    <t>Description</t>
  </si>
  <si>
    <t>Unité</t>
  </si>
  <si>
    <t>Partie en MAD</t>
  </si>
  <si>
    <t>Partie en monnaie étrangère</t>
  </si>
  <si>
    <t>(1) x (3)</t>
  </si>
  <si>
    <t>FOR</t>
  </si>
  <si>
    <t>Coordination générale</t>
  </si>
  <si>
    <t>Documents d’après l’exécution et d’exploitation</t>
  </si>
  <si>
    <t>Formation du personnel au Maroc</t>
  </si>
  <si>
    <t>TOTAL (à reprendre dans le bordereau récapitulatif N°5)</t>
  </si>
  <si>
    <t xml:space="preserve"> 3.1</t>
  </si>
  <si>
    <t xml:space="preserve"> 3.3</t>
  </si>
  <si>
    <t xml:space="preserve"> 3.4</t>
  </si>
  <si>
    <t xml:space="preserve"> 3.5</t>
  </si>
  <si>
    <t xml:space="preserve"> 3.6</t>
  </si>
  <si>
    <t xml:space="preserve"> 3.7</t>
  </si>
  <si>
    <t>(3)</t>
  </si>
  <si>
    <t>Bordereau N°4 : Services de montage et autres services</t>
  </si>
  <si>
    <t>INSTALLATION DE CHANTIER</t>
  </si>
  <si>
    <t xml:space="preserve">Installations fixes non industrielles </t>
  </si>
  <si>
    <t>Viabilités</t>
  </si>
  <si>
    <t>Eau</t>
  </si>
  <si>
    <t>Electricité</t>
  </si>
  <si>
    <t>Logements de l’Entrepreneur</t>
  </si>
  <si>
    <t>Bureaux de l’Entrepreneur</t>
  </si>
  <si>
    <t>Téléphone</t>
  </si>
  <si>
    <t>Démolitions et repli</t>
  </si>
  <si>
    <t>Entretien des installations pendant les travaux</t>
  </si>
  <si>
    <t xml:space="preserve">Installations fixes industrielles </t>
  </si>
  <si>
    <t>Approvisionnement et installation</t>
  </si>
  <si>
    <t>Démolition et repli</t>
  </si>
  <si>
    <t>Installations non fixes</t>
  </si>
  <si>
    <t>Amenée et installation</t>
  </si>
  <si>
    <t>Amortissement</t>
  </si>
  <si>
    <t>Total 4.1</t>
  </si>
  <si>
    <t>Excavation en terrain meuble à l'air libre</t>
  </si>
  <si>
    <t>Décapage</t>
  </si>
  <si>
    <t>Ascenseur</t>
  </si>
  <si>
    <t>u</t>
  </si>
  <si>
    <t xml:space="preserve"> 4.1</t>
  </si>
  <si>
    <t xml:space="preserve"> 4.1.01</t>
  </si>
  <si>
    <t xml:space="preserve"> 4.1.02</t>
  </si>
  <si>
    <t xml:space="preserve"> 4.1.03</t>
  </si>
  <si>
    <t xml:space="preserve"> 4.1.04</t>
  </si>
  <si>
    <t xml:space="preserve"> 4.1.05</t>
  </si>
  <si>
    <t xml:space="preserve"> 4.1.06</t>
  </si>
  <si>
    <t xml:space="preserve"> 4.1.07</t>
  </si>
  <si>
    <t xml:space="preserve"> 4.1.08</t>
  </si>
  <si>
    <t xml:space="preserve"> 4.1.09</t>
  </si>
  <si>
    <t xml:space="preserve"> 4.1.10</t>
  </si>
  <si>
    <t xml:space="preserve"> 4.1.11</t>
  </si>
  <si>
    <t xml:space="preserve"> 4.1.12</t>
  </si>
  <si>
    <t xml:space="preserve"> 4.1.13</t>
  </si>
  <si>
    <t xml:space="preserve"> 4.1.14</t>
  </si>
  <si>
    <t xml:space="preserve"> 4.1.15</t>
  </si>
  <si>
    <t xml:space="preserve"> 4.1.16</t>
  </si>
  <si>
    <t xml:space="preserve"> 4.1.17</t>
  </si>
  <si>
    <t xml:space="preserve"> 4.2</t>
  </si>
  <si>
    <t xml:space="preserve"> GENIE CIVIL ET BATIMENTS DE LA STEP</t>
  </si>
  <si>
    <t xml:space="preserve"> 4.3</t>
  </si>
  <si>
    <t>Bordereau N°6: Pièces de rechange recommandées</t>
  </si>
  <si>
    <t>Prix total</t>
  </si>
  <si>
    <t xml:space="preserve">  Libellé</t>
  </si>
  <si>
    <t>Pays d’origine pour les pièces de rechange recommandées</t>
  </si>
  <si>
    <t xml:space="preserve">  Poste</t>
  </si>
  <si>
    <t xml:space="preserve">  Code</t>
  </si>
  <si>
    <t xml:space="preserve">  Pays</t>
  </si>
  <si>
    <t xml:space="preserve">Formation du personnel à l‘étranger </t>
  </si>
  <si>
    <t xml:space="preserve"> 6.3.01</t>
  </si>
  <si>
    <t>Total all</t>
  </si>
  <si>
    <t>EU-00</t>
  </si>
  <si>
    <t>ANDRITZ</t>
  </si>
  <si>
    <t>E&amp;M</t>
  </si>
  <si>
    <t>CW</t>
  </si>
  <si>
    <t>P&amp;G</t>
  </si>
  <si>
    <t xml:space="preserve"> 3.2</t>
  </si>
  <si>
    <t>Prix unitaire</t>
  </si>
  <si>
    <t>Etudes de l’installation de l’équipement électrique</t>
  </si>
  <si>
    <t>Partie en                       MAD</t>
  </si>
  <si>
    <t>Europe</t>
  </si>
  <si>
    <t>EXW</t>
  </si>
  <si>
    <t>Base vie et bureaux du Maître de l’Ouvrage (inclus running cost)</t>
  </si>
  <si>
    <t>Total 2.1</t>
  </si>
  <si>
    <t>1.1</t>
  </si>
  <si>
    <t>ÉQUIPEMENTS HYDRO ET ELECTROMECHANIQUES</t>
  </si>
  <si>
    <t>1.1.1</t>
  </si>
  <si>
    <t>EQUIPEMENT HYDROMECANIQUE</t>
  </si>
  <si>
    <t>1.1.1.1</t>
  </si>
  <si>
    <t>Grilles fixes des prises d’eau</t>
  </si>
  <si>
    <t>Forfait</t>
  </si>
  <si>
    <t>1.1.1.2</t>
  </si>
  <si>
    <t>Vanne de tête do circuit hydraulique</t>
  </si>
  <si>
    <t>1.1.1.3</t>
  </si>
  <si>
    <t>Blindage du circuit hydraulique</t>
  </si>
  <si>
    <t>1.1.1.4</t>
  </si>
  <si>
    <t>Vannes d’isolement et protection en aval des groupes</t>
  </si>
  <si>
    <t>1.1.1.5</t>
  </si>
  <si>
    <t>Batardeau du bassin inferieure</t>
  </si>
  <si>
    <t>1.1.2</t>
  </si>
  <si>
    <t>GROUPES TURBINES-POMPES ALTERNATEURS-MOTEURS</t>
  </si>
  <si>
    <t>1.1.2.1</t>
  </si>
  <si>
    <t>Turbines-pompes et leurs auxiliaires</t>
  </si>
  <si>
    <t>1.1.2.2</t>
  </si>
  <si>
    <t>Alternateurs-moteurs et leurs auxiliaires</t>
  </si>
  <si>
    <t>1.1.2.3</t>
  </si>
  <si>
    <t xml:space="preserve">Vannes de garde cylindriques </t>
  </si>
  <si>
    <t>1.1.2.4</t>
  </si>
  <si>
    <t>Système de régulation de vitesse</t>
  </si>
  <si>
    <t>1.1.2.5</t>
  </si>
  <si>
    <t>Système de dénoyage</t>
  </si>
  <si>
    <t>1.1.2.6</t>
  </si>
  <si>
    <t>Système de refroidissement</t>
  </si>
  <si>
    <t>1.1.2.7</t>
  </si>
  <si>
    <t>1.1.3</t>
  </si>
  <si>
    <t>EQUIPEMENTS DE LEVAGE</t>
  </si>
  <si>
    <t>1.1.3.1</t>
  </si>
  <si>
    <t>Ponts roulants de l’usine</t>
  </si>
  <si>
    <t>1.1.3.2</t>
  </si>
  <si>
    <t>1.1.3.3</t>
  </si>
  <si>
    <t>Pont roulant de la galerie des vannes en aval des groupes</t>
  </si>
  <si>
    <t>1.1.3.4</t>
  </si>
  <si>
    <t>1.1.3.5</t>
  </si>
  <si>
    <t>1.1.3.6</t>
  </si>
  <si>
    <t xml:space="preserve">Autre équipement de levage </t>
  </si>
  <si>
    <t>1.1.4</t>
  </si>
  <si>
    <t>ÉQUIPEMENT DE POMPAGE</t>
  </si>
  <si>
    <t>1.1.4.1</t>
  </si>
  <si>
    <t>Équipement de drainage de l’usine</t>
  </si>
  <si>
    <t>1.1.4.2</t>
  </si>
  <si>
    <t>Équipement de vidange du circuit hydraulique</t>
  </si>
  <si>
    <t>1.1.4.3</t>
  </si>
  <si>
    <t>1.1.5</t>
  </si>
  <si>
    <t>ÉQUIPEMENT DE VENTILATION ET CLIMATISATION</t>
  </si>
  <si>
    <t>1.5.1.1</t>
  </si>
  <si>
    <t>Ventilateurs de distribution d'air</t>
  </si>
  <si>
    <t>1.5.1.2</t>
  </si>
  <si>
    <t>Unités d'extraction d'air</t>
  </si>
  <si>
    <t>1.5.1.3</t>
  </si>
  <si>
    <t>Conduits, diffuseurs, grilles, registres, filtres et accessoires</t>
  </si>
  <si>
    <t>1.5.1.4</t>
  </si>
  <si>
    <t>1.1.6</t>
  </si>
  <si>
    <t>ÉQUIPEMENT DE PROTECTION CONTRE LES INCENDIES</t>
  </si>
  <si>
    <t>1.1.6.1</t>
  </si>
  <si>
    <t>Installation d'eau de protection incendie (centrale, reseau et bouches d'encendie)</t>
  </si>
  <si>
    <t>1.1.6.2</t>
  </si>
  <si>
    <t>Matériel de 1ère intervention</t>
  </si>
  <si>
    <t>1.1.6.3</t>
  </si>
  <si>
    <t>Signalisation photoluminescente</t>
  </si>
  <si>
    <t>1.1.6.4</t>
  </si>
  <si>
    <t>Partitionnement</t>
  </si>
  <si>
    <t>1.1.6.5</t>
  </si>
  <si>
    <t>FK-1-5-12 Système d’extinction au gaz (génératrices)</t>
  </si>
  <si>
    <t>1.1.6.6</t>
  </si>
  <si>
    <t>Mousses à moyen foisonnement (transformateurs)</t>
  </si>
  <si>
    <t>1.1.7</t>
  </si>
  <si>
    <t>ÉQUIPEMENT COMPLEMENTAIRE</t>
  </si>
  <si>
    <t>1.1.7.1</t>
  </si>
  <si>
    <t>Équiment pour l'atelier</t>
  </si>
  <si>
    <t>1.1.7.2</t>
  </si>
  <si>
    <t>Système d'eau de service</t>
  </si>
  <si>
    <t>1.1.8</t>
  </si>
  <si>
    <t>PIÈCES DE RECHANGE</t>
  </si>
  <si>
    <t>1.2</t>
  </si>
  <si>
    <t>EQUIPEMENTS ELECTRIQUES</t>
  </si>
  <si>
    <t>1.2.1</t>
  </si>
  <si>
    <t>INSTALLATION À LA TENSION DE PRODUCTION</t>
  </si>
  <si>
    <t>1.2.1.1</t>
  </si>
  <si>
    <t>Cellule neutre (comprendre neutre jeux de barres, résistence de mise à la terre, TC, et paneaux metalique pour isolation et boîte à bornes)</t>
  </si>
  <si>
    <t>1.2.1.2</t>
  </si>
  <si>
    <t>Module disjoncteur d'alternateur (type blindé) (équipé de transformateurs d'intensité et tension, condensateurs, sectionneurs, bars et boîtes)</t>
  </si>
  <si>
    <t>1.2.1.3</t>
  </si>
  <si>
    <t>Cellule de connexion au bus de démarrage (type modulaire, équipée d'un disjoncteur amovible)</t>
  </si>
  <si>
    <t>1.2.1.4</t>
  </si>
  <si>
    <t>Réactance aérienne  (type blindé) et paneaux metalique pour isolation</t>
  </si>
  <si>
    <t>1.2.1.5</t>
  </si>
  <si>
    <t>Cellule de connexion aux shunts pour l'alimentation de l'excitation et du convertisseur de fréquence et des services auxiliaires (type modulaire, équipé de 3 transformateurs d'intensité)</t>
  </si>
  <si>
    <t>1.2.1.6</t>
  </si>
  <si>
    <t xml:space="preserve">Cellule de dérivation pour le transformateur d'excitation (type modulaire, équipée d'un disjoncteur amovible et de 3 transformateurs d'intensité) </t>
  </si>
  <si>
    <t>1.2.1.7</t>
  </si>
  <si>
    <t>Excitation et transformateur d'excitation (dans une armoire de protection métallique)</t>
  </si>
  <si>
    <t>1.2.1.8</t>
  </si>
  <si>
    <t>Jeux de barres blindé à la tension de production et ses dérivés</t>
  </si>
  <si>
    <t>1.2.2</t>
  </si>
  <si>
    <t>TRANSFORMATEUR PRINCIPAL 15/400 kV</t>
  </si>
  <si>
    <t>1.2.2.1</t>
  </si>
  <si>
    <t>Transformateur 15/400 kV et leurs auxiliares</t>
  </si>
  <si>
    <t>1.2.3</t>
  </si>
  <si>
    <t>INSTALLATION D'ÉMISSION D'ÉNERGIE (POSTE)</t>
  </si>
  <si>
    <t>1.2.3.1</t>
  </si>
  <si>
    <t xml:space="preserve">Fournitures à pied d’œuvre: </t>
  </si>
  <si>
    <t>1.2.3.1.1</t>
  </si>
  <si>
    <t>Au poste 400 kV de STEP EL MENZEL</t>
  </si>
  <si>
    <t>1.2.3.1.1.1</t>
  </si>
  <si>
    <t>Armoires d’alimentation équipées</t>
  </si>
  <si>
    <t>1.2.3.1.1.2</t>
  </si>
  <si>
    <t>Tables roulantes</t>
  </si>
  <si>
    <t>1.2.3.1.1.3</t>
  </si>
  <si>
    <t>Postes téléphoniques classiques</t>
  </si>
  <si>
    <t>1.2.3.1.1.4</t>
  </si>
  <si>
    <t>Postes téléphoniques IP phone</t>
  </si>
  <si>
    <t>1.2.3.1.1.5</t>
  </si>
  <si>
    <t>Equipements de téléactions Numériques à 4 ordres</t>
  </si>
  <si>
    <t>1.2.3.1.1.6</t>
  </si>
  <si>
    <t>Equipements de téléactions Numériques à 4 ordres de rechanges</t>
  </si>
  <si>
    <t>1.2.3.1.1.7</t>
  </si>
  <si>
    <t>Armoires précablées</t>
  </si>
  <si>
    <t>1.2.3.1.1.8</t>
  </si>
  <si>
    <t xml:space="preserve">Equipements de transmission par  fibre optique </t>
  </si>
  <si>
    <t>1.2.3.1.1.9</t>
  </si>
  <si>
    <t>1.2.3.1.2</t>
  </si>
  <si>
    <t>Au poste 400 kV de TAG EL WAHDA</t>
  </si>
  <si>
    <t>1.2.3.1.2.1</t>
  </si>
  <si>
    <t>1.2.3.1.2.2</t>
  </si>
  <si>
    <t xml:space="preserve">Extension Equipements de transmission par  fibre optique </t>
  </si>
  <si>
    <t>1.2.3.1.3</t>
  </si>
  <si>
    <t>Au poste 400 kV de BOURDIM</t>
  </si>
  <si>
    <t>1.2.3.1.3.1</t>
  </si>
  <si>
    <t>1.2.3.1.4</t>
  </si>
  <si>
    <t>Au poste 400 kV de CS Midelt</t>
  </si>
  <si>
    <t>1.2.3.1.4.1</t>
  </si>
  <si>
    <t>1.2.3.1.5</t>
  </si>
  <si>
    <t>Au local répéteur Taza (Coté BOURDIM)</t>
  </si>
  <si>
    <t>1.2.3.1.5.1</t>
  </si>
  <si>
    <t>1.2.4</t>
  </si>
  <si>
    <t>INSTALLATION DE COMMANDE ET DE CONTRÔLE</t>
  </si>
  <si>
    <t>1.2.4.1</t>
  </si>
  <si>
    <t>Système de commande et contrôle (comprendre: SYSTEME DE CONTROLE, SYSTEME D'INFORMATION, INTERFACE AVEC BASSIN INFERIEURE ET SUPERIEURE ET PROTECTIONS ELECTRIQUES)</t>
  </si>
  <si>
    <t>1.2.5</t>
  </si>
  <si>
    <t>INSTALLATION DE SERVICES AUXILIAIRES GÉNÉRAUX</t>
  </si>
  <si>
    <t>1.2.5.1</t>
  </si>
  <si>
    <t>Installatiion 15kV (comprendre: Transformateurs du services auxiliares, Câbles moyenne tension et Ligne 15kV)</t>
  </si>
  <si>
    <t>1.2.5.2</t>
  </si>
  <si>
    <t>Installation d'alimentation en courant alternatif (comprendre: groupe diesel-électrique, onduleurs, câbles, conduits et tabeaux)</t>
  </si>
  <si>
    <t>1.2.5.3</t>
  </si>
  <si>
    <t>Installation d'alimentation en courant continu (comprendre: batteries, redresseurs, tableaux, câbles, conduites et tableaux)</t>
  </si>
  <si>
    <t>1.2.5.4</t>
  </si>
  <si>
    <t>Installation d'alimentation de l'equipment de bassin inférieur</t>
  </si>
  <si>
    <t>1.2.5.5</t>
  </si>
  <si>
    <t>Installation d'alimentation de l'equipment de bassin supérieur</t>
  </si>
  <si>
    <t>1.2.5.6</t>
  </si>
  <si>
    <t>Installation d'éclairage et de prises</t>
  </si>
  <si>
    <t>1.2.6</t>
  </si>
  <si>
    <t>INSTALLATION DE SÉCURITÉ</t>
  </si>
  <si>
    <t>1.2.6.1</t>
  </si>
  <si>
    <t>Installation de detection d'intrusion</t>
  </si>
  <si>
    <t>1.2.6.2</t>
  </si>
  <si>
    <t>Installation de vidéosurveillance</t>
  </si>
  <si>
    <t>1.2.6.3</t>
  </si>
  <si>
    <t>1.2.6.4</t>
  </si>
  <si>
    <t>Installation de détencion des inondations</t>
  </si>
  <si>
    <t>1.2.7</t>
  </si>
  <si>
    <t>1.2.7.1</t>
  </si>
  <si>
    <t>1.2.8</t>
  </si>
  <si>
    <t>1.2.8.1</t>
  </si>
  <si>
    <t>1.3</t>
  </si>
  <si>
    <t>AUSCULTATION</t>
  </si>
  <si>
    <t>1.3.1</t>
  </si>
  <si>
    <t>Prisme topographique</t>
  </si>
  <si>
    <t>U</t>
  </si>
  <si>
    <t>1.3.2</t>
  </si>
  <si>
    <t>Marque topographique</t>
  </si>
  <si>
    <t>1.3.3</t>
  </si>
  <si>
    <t>Inclinomètre</t>
  </si>
  <si>
    <t>m</t>
  </si>
  <si>
    <t>1.3.4</t>
  </si>
  <si>
    <t>Prisme de lecture des déplacements et des convergences</t>
  </si>
  <si>
    <t>1.3.5</t>
  </si>
  <si>
    <t>Extensomètres à tige avec transducteurs lvdt</t>
  </si>
  <si>
    <t>1.3.6</t>
  </si>
  <si>
    <t>Etablissement du réseau géodésique</t>
  </si>
  <si>
    <t>1.3.7</t>
  </si>
  <si>
    <t>Embase de théodolite</t>
  </si>
  <si>
    <t>1.3.8</t>
  </si>
  <si>
    <t>Repère de nivellement</t>
  </si>
  <si>
    <t>1.3.9</t>
  </si>
  <si>
    <t>Echelles limnimétriques</t>
  </si>
  <si>
    <t>ml</t>
  </si>
  <si>
    <t>1.3.10</t>
  </si>
  <si>
    <t>Chaîne extensométrique à trois (3) points de mesure</t>
  </si>
  <si>
    <t>1.3.11</t>
  </si>
  <si>
    <t>Chaine de téléniveaux à 6 cellules de tassement</t>
  </si>
  <si>
    <t>Qté.
(1)</t>
  </si>
  <si>
    <t>Système de monitorisation</t>
  </si>
  <si>
    <t>Équipement et installations éléctriques</t>
  </si>
  <si>
    <t>1.1.8.1</t>
  </si>
  <si>
    <t>2.1</t>
  </si>
  <si>
    <t>2.1.1</t>
  </si>
  <si>
    <t>2.1.2</t>
  </si>
  <si>
    <t>2.1.3</t>
  </si>
  <si>
    <t>2.1.4</t>
  </si>
  <si>
    <t>2.1.5</t>
  </si>
  <si>
    <t>2.1.6</t>
  </si>
  <si>
    <t>2.1.1.1</t>
  </si>
  <si>
    <t>2.1.1.2</t>
  </si>
  <si>
    <t>2.1.1.3</t>
  </si>
  <si>
    <t>2.1.1.4</t>
  </si>
  <si>
    <t>2.1.1.5</t>
  </si>
  <si>
    <t>2.1.2.1</t>
  </si>
  <si>
    <t>2.1.2.2</t>
  </si>
  <si>
    <t>2.1.2.3</t>
  </si>
  <si>
    <t>2.1.2.4</t>
  </si>
  <si>
    <t>2.1.2.5</t>
  </si>
  <si>
    <t>2.1.2.6</t>
  </si>
  <si>
    <t>2.1.2.7</t>
  </si>
  <si>
    <t>2.1.3.1</t>
  </si>
  <si>
    <t>2.1.3.2</t>
  </si>
  <si>
    <t>2.1.3.3</t>
  </si>
  <si>
    <t>2.1.3.4</t>
  </si>
  <si>
    <t>2.1.3.5</t>
  </si>
  <si>
    <t>2.1.3.6</t>
  </si>
  <si>
    <t>2.1.4.1</t>
  </si>
  <si>
    <t>2.1.4.2</t>
  </si>
  <si>
    <t>2.1.4.3</t>
  </si>
  <si>
    <t>2.5.1.1</t>
  </si>
  <si>
    <t>2.5.1.2</t>
  </si>
  <si>
    <t>2.5.1.3</t>
  </si>
  <si>
    <t>2.5.1.4</t>
  </si>
  <si>
    <t>2.1.6.1</t>
  </si>
  <si>
    <t>2.1.6.2</t>
  </si>
  <si>
    <t>2.1.6.3</t>
  </si>
  <si>
    <t>2.1.6.4</t>
  </si>
  <si>
    <t>2.1.6.5</t>
  </si>
  <si>
    <t>2.1.6.6</t>
  </si>
  <si>
    <t>2.1.7</t>
  </si>
  <si>
    <t>2.1.7.1</t>
  </si>
  <si>
    <t>2.1.7.2</t>
  </si>
  <si>
    <t>2.1.8</t>
  </si>
  <si>
    <t>2.1.8.1</t>
  </si>
  <si>
    <t>2.2</t>
  </si>
  <si>
    <t>2.2.1</t>
  </si>
  <si>
    <t>2.2.1.1</t>
  </si>
  <si>
    <t>2.2.1.2</t>
  </si>
  <si>
    <t>2.2.1.3</t>
  </si>
  <si>
    <t>2.2.1.4</t>
  </si>
  <si>
    <t>2.2.1.5</t>
  </si>
  <si>
    <t>2.2.1.6</t>
  </si>
  <si>
    <t>2.2.1.7</t>
  </si>
  <si>
    <t>2.2.1.8</t>
  </si>
  <si>
    <t>2.2.2</t>
  </si>
  <si>
    <t>2.2.2.1</t>
  </si>
  <si>
    <t>2.2.3</t>
  </si>
  <si>
    <t>2.2.3.1</t>
  </si>
  <si>
    <t>2.2.3.1.1</t>
  </si>
  <si>
    <t>2.2.3.1.1.1</t>
  </si>
  <si>
    <t>2.2.3.1.1.2</t>
  </si>
  <si>
    <t>2.2.3.1.1.3</t>
  </si>
  <si>
    <t>2.2.3.1.1.4</t>
  </si>
  <si>
    <t>2.2.3.1.1.5</t>
  </si>
  <si>
    <t>2.2.3.1.1.6</t>
  </si>
  <si>
    <t>2.2.3.1.1.7</t>
  </si>
  <si>
    <t>2.2.3.1.1.8</t>
  </si>
  <si>
    <t>2.2.3.1.1.9</t>
  </si>
  <si>
    <t>2.2.3.1.2</t>
  </si>
  <si>
    <t>2.2.3.1.2.1</t>
  </si>
  <si>
    <t>2.2.3.1.2.2</t>
  </si>
  <si>
    <t>2.2.3.1.3</t>
  </si>
  <si>
    <t>2.2.3.1.3.1</t>
  </si>
  <si>
    <t>2.2.3.1.4</t>
  </si>
  <si>
    <t>2.2.3.1.4.1</t>
  </si>
  <si>
    <t>2.2.3.1.5</t>
  </si>
  <si>
    <t>2.2.3.1.5.1</t>
  </si>
  <si>
    <t>2.2.4</t>
  </si>
  <si>
    <t>2.2.4.1</t>
  </si>
  <si>
    <t>2.2.5</t>
  </si>
  <si>
    <t>2.2.5.1</t>
  </si>
  <si>
    <t>2.2.5.2</t>
  </si>
  <si>
    <t>2.2.5.3</t>
  </si>
  <si>
    <t>2.2.5.4</t>
  </si>
  <si>
    <t>2.2.5.5</t>
  </si>
  <si>
    <t>2.2.5.6</t>
  </si>
  <si>
    <t>2.2.6</t>
  </si>
  <si>
    <t>2.2.6.1</t>
  </si>
  <si>
    <t>2.2.6.2</t>
  </si>
  <si>
    <t>2.2.6.3</t>
  </si>
  <si>
    <t>2.2.6.4</t>
  </si>
  <si>
    <t>2.2.7</t>
  </si>
  <si>
    <t>2.2.7.1</t>
  </si>
  <si>
    <t>2.2.8.1</t>
  </si>
  <si>
    <t>2.3</t>
  </si>
  <si>
    <t>2.3.1</t>
  </si>
  <si>
    <t>2.3.2</t>
  </si>
  <si>
    <t>2.3.3</t>
  </si>
  <si>
    <t>2.3.4</t>
  </si>
  <si>
    <t>2.3.5</t>
  </si>
  <si>
    <t>2.3.6</t>
  </si>
  <si>
    <t>2.3.7</t>
  </si>
  <si>
    <t>2.3.8</t>
  </si>
  <si>
    <t>2.3.9</t>
  </si>
  <si>
    <t>2.3.10</t>
  </si>
  <si>
    <t>2.3.11</t>
  </si>
  <si>
    <t xml:space="preserve">Etudes du génie civil (y/c les installations et travaux provisoires) </t>
  </si>
  <si>
    <t>Etudes de l’installation de l’équipement hydromécanique et hydroélectriques</t>
  </si>
  <si>
    <t>Prix unitaire
CIP</t>
  </si>
  <si>
    <t>Euros</t>
  </si>
  <si>
    <t>Dollars</t>
  </si>
  <si>
    <t>Prix total
CIP</t>
  </si>
  <si>
    <t>(1)x(2)</t>
  </si>
  <si>
    <t>(1)x(3)</t>
  </si>
  <si>
    <t>Dollard</t>
  </si>
  <si>
    <t>(4)</t>
  </si>
  <si>
    <t>(1) x (4)</t>
  </si>
  <si>
    <t xml:space="preserve">TRAVAUX PREPARATOIRES </t>
  </si>
  <si>
    <t>(à détailler par le sousmissionnaire)</t>
  </si>
  <si>
    <t>EXCAVATIONS</t>
  </si>
  <si>
    <t>4.3.1</t>
  </si>
  <si>
    <t>m3</t>
  </si>
  <si>
    <t>4.3.2</t>
  </si>
  <si>
    <t>4.3.3</t>
  </si>
  <si>
    <t>Excavation en terrain rocheaux à l'air libre</t>
  </si>
  <si>
    <t>4.3.4</t>
  </si>
  <si>
    <t>Excavation en terrain rippable</t>
  </si>
  <si>
    <t>4.3.5</t>
  </si>
  <si>
    <t>Transport à destination finale des produits excédentaires des excavations, à toute distance.</t>
  </si>
  <si>
    <t>4.3.6</t>
  </si>
  <si>
    <t>4.3.7</t>
  </si>
  <si>
    <t>Déblai Fouille</t>
  </si>
  <si>
    <t>Remblai Fouille</t>
  </si>
  <si>
    <t>Excavation en souterrain - Puits</t>
  </si>
  <si>
    <t>Excavation en souterrain - Tunnel/galerie</t>
  </si>
  <si>
    <t>Excavation en souterrain - Caverne</t>
  </si>
  <si>
    <t>4.4</t>
  </si>
  <si>
    <t>REMBLAIS ET REVETEMENTS</t>
  </si>
  <si>
    <t>4.4.1</t>
  </si>
  <si>
    <t>Remblai</t>
  </si>
  <si>
    <t>4.4.2</t>
  </si>
  <si>
    <t>EB (0/14)</t>
  </si>
  <si>
    <t>t</t>
  </si>
  <si>
    <t>4.4.3</t>
  </si>
  <si>
    <t>Bitume pur 40/50 pour EB</t>
  </si>
  <si>
    <t>4.4.4</t>
  </si>
  <si>
    <t xml:space="preserve">GNB </t>
  </si>
  <si>
    <t>4.4.5</t>
  </si>
  <si>
    <t>Couche en grave non traitée du type GNF2</t>
  </si>
  <si>
    <t>4.4.6</t>
  </si>
  <si>
    <t>MS2</t>
  </si>
  <si>
    <t>4.4.7</t>
  </si>
  <si>
    <t>Mise en œuvre de l'imprégnation</t>
  </si>
  <si>
    <t>m2</t>
  </si>
  <si>
    <t>Liant pour imprégnation</t>
  </si>
  <si>
    <t>Lit de sable</t>
  </si>
  <si>
    <t>Badigeonnage des parements des dalots</t>
  </si>
  <si>
    <t>Gabions</t>
  </si>
  <si>
    <t>Remblai contigue</t>
  </si>
  <si>
    <t>Enrochement 100-400</t>
  </si>
  <si>
    <t>Remblai insensible à l'eau</t>
  </si>
  <si>
    <t>Remblayage autour des ouvrages, y compris le compactage, avec des terres issues des excavations.</t>
  </si>
  <si>
    <t>Enrochement (pour les digues des bassins)</t>
  </si>
  <si>
    <t>Grave 0/30MM</t>
  </si>
  <si>
    <t>4.5</t>
  </si>
  <si>
    <t>BÉTON</t>
  </si>
  <si>
    <t>4.5.1</t>
  </si>
  <si>
    <t>Béton de propreté, classe de résistance C12/15 (fck = 12 MPa), avec 0.10 m de epaisseur</t>
  </si>
  <si>
    <t>4.5.2</t>
  </si>
  <si>
    <t>Béton de remplissage, classe de résistance C20/25 (fck = 20 MPa)</t>
  </si>
  <si>
    <t>4.5.3</t>
  </si>
  <si>
    <t>Béton de la structure, classe de résistance C30/37 (fck = 30 MPa)</t>
  </si>
  <si>
    <t>4.5.4</t>
  </si>
  <si>
    <t>Béton de la structure (2eme phase), classe de résistance C30/37 (fck = 30 MPa)</t>
  </si>
  <si>
    <t>4.5.5</t>
  </si>
  <si>
    <t>Béton de l'usine (3 eme, 4 eme et 5 eme phase), classe de résistance C30/37 (fck = 30 MPa) auto compactable (BAC)</t>
  </si>
  <si>
    <t>4.5.6</t>
  </si>
  <si>
    <t>Béton du circuit hydraulique, classe de résistance C35/45 (fck = 35 MPa), auto-compactable (BAC)</t>
  </si>
  <si>
    <t>4.5.7</t>
  </si>
  <si>
    <t>Dalles préfabriquées en béton de la structure, classe de résistance C35/45 (fck = 35 MPa), avec 0.10 m de epaisseur</t>
  </si>
  <si>
    <t>4.5.8</t>
  </si>
  <si>
    <t>Béton projeté</t>
  </si>
  <si>
    <t>4.5.9</t>
  </si>
  <si>
    <t>Betón projeté reforcé par des fibres métalliques E=1000 J</t>
  </si>
  <si>
    <t>4.5.10</t>
  </si>
  <si>
    <t>Betón projeté reforcé par des fibres métalliques E=700 J</t>
  </si>
  <si>
    <t>4.5.11</t>
  </si>
  <si>
    <t>Béton projeté, e=15cm renforcé par 2x treillis életrosoudé NAQ 140</t>
  </si>
  <si>
    <t>Remplissage avec du béton simple (C12/15)</t>
  </si>
  <si>
    <t>Béton B25 dosé à 350 kg/m3 en ciment</t>
  </si>
  <si>
    <t>Béton B20 dosé à 300 kg/m3 en ciment</t>
  </si>
  <si>
    <t>Béton de propreté B15 dosé à 150 kg/m3 en ciment</t>
  </si>
  <si>
    <t>Gros béton B10</t>
  </si>
  <si>
    <t>Béton poreux</t>
  </si>
  <si>
    <t>ACIERS</t>
  </si>
  <si>
    <t>4.6.1</t>
  </si>
  <si>
    <t>Armatures de haute adherence avec fyk = 400 MPa</t>
  </si>
  <si>
    <t>kg</t>
  </si>
  <si>
    <t>4.6.2</t>
  </si>
  <si>
    <t>Armatures de haute adherence avec fyk = 500 MPa</t>
  </si>
  <si>
    <t>4.6.3</t>
  </si>
  <si>
    <t>Acier S275 JR de charpente ou en tôle avec fuk = 430 MPa</t>
  </si>
  <si>
    <t>unité</t>
  </si>
  <si>
    <t>4.6.5</t>
  </si>
  <si>
    <t>4.6.6</t>
  </si>
  <si>
    <t>Barres de clouage de diametre 32 mm</t>
  </si>
  <si>
    <t>4.6.7</t>
  </si>
  <si>
    <t>Treillis d'armature pour béton projete AQ38</t>
  </si>
  <si>
    <t>Acier</t>
  </si>
  <si>
    <t>COFFRAGE</t>
  </si>
  <si>
    <t>Coffrage, classe de finition de type F2 sur des surfaces planes</t>
  </si>
  <si>
    <t>Coffrage, classe de finition de type F3 sur des surfaces planes</t>
  </si>
  <si>
    <t>Coffrage, classe de finition de type F4 sur des surfaces planes</t>
  </si>
  <si>
    <t>Coffrage, classe de finition de type F2 sur des surfaces courbes</t>
  </si>
  <si>
    <t>Coffrage, classe de finition de type F3 sur des surfaces courbes</t>
  </si>
  <si>
    <t>Coffrage, classe de finition de type F4 sur des surfaces courbes</t>
  </si>
  <si>
    <t>DIVERS</t>
  </si>
  <si>
    <t>Appareils d'appui en elastomere frette</t>
  </si>
  <si>
    <t>Murs de revetement en maçonnerie de briques de la caverne de l'usine</t>
  </si>
  <si>
    <t>Barbage métallique pour le toit de la caverne de l'usine</t>
  </si>
  <si>
    <t>Buse Ø  1000 série 135A</t>
  </si>
  <si>
    <t>Buse Ø  1200 série 135A</t>
  </si>
  <si>
    <t>Géocomposite pour dalots</t>
  </si>
  <si>
    <t xml:space="preserve">Géotextile </t>
  </si>
  <si>
    <t>Joint water stop</t>
  </si>
  <si>
    <t>Fosse Bétonne</t>
  </si>
  <si>
    <t>Bordure I2</t>
  </si>
  <si>
    <t>Bourrelet</t>
  </si>
  <si>
    <t>Géomenbrane</t>
  </si>
  <si>
    <t>Géodrain</t>
  </si>
  <si>
    <t>Mur en maçonnerie</t>
  </si>
  <si>
    <t>Couche de base</t>
  </si>
  <si>
    <t xml:space="preserve">Revetement multicouche </t>
  </si>
  <si>
    <t>Couche de fondation</t>
  </si>
  <si>
    <t>DRAINAGE</t>
  </si>
  <si>
    <t>Gouttière demi-ronde</t>
  </si>
  <si>
    <t>Drain Ø160 en PVC</t>
  </si>
  <si>
    <t>Descente d'eau</t>
  </si>
  <si>
    <t>Caniveau Bétonne</t>
  </si>
  <si>
    <t>PVC crépiné pour barbacane</t>
  </si>
  <si>
    <t>FORAGES ET INJECTIONS</t>
  </si>
  <si>
    <t>Clouage ponctuels en fonction du compartimentage du massif, ∅32mm scellés avec remplissage de ciment</t>
  </si>
  <si>
    <t>Clouage systematiques, ∅32mm scellés avec remplissage de ciment</t>
  </si>
  <si>
    <t>Drains ponctuels radiaux l=4m, ∅50mm</t>
  </si>
  <si>
    <t>Protection éventuelle du  voûte avec enfilages l=12m, ø=32mm, scellés avec remplissage de ciment</t>
  </si>
  <si>
    <t>Profilés métalliques TH29, munis de joints coulissants à l'aide de leurs propres pinces</t>
  </si>
  <si>
    <t>Clouage de fibres de verre ø32mm</t>
  </si>
  <si>
    <t>Drains systematiques, radiaux l=4m, ∅50mm</t>
  </si>
  <si>
    <t>Clouage provisoire ponctuels en fonction du compartimentage du massif, ∅32mm scellés avec remplissage de ciment</t>
  </si>
  <si>
    <t>Clouage provisoire systematiques, ∅32mm scellés avec remplissage de ciment</t>
  </si>
  <si>
    <t>Clouage provisoire de fibres de verre ø32mm</t>
  </si>
  <si>
    <t xml:space="preserve">F - Longueur du trou </t>
  </si>
  <si>
    <t>C - Coulis de ciment</t>
  </si>
  <si>
    <t>SIGNALISATION ET EQUIPMENTS DE SECURITE</t>
  </si>
  <si>
    <t>Panneaux de signalisation verticale y compris support</t>
  </si>
  <si>
    <t>Ligne axiale 3-10</t>
  </si>
  <si>
    <t>Lignes latérales 6-20</t>
  </si>
  <si>
    <t>Panneau de jalonnement direction</t>
  </si>
  <si>
    <t>Panneau de presignalisation</t>
  </si>
  <si>
    <t xml:space="preserve">Peinture horizontale </t>
  </si>
  <si>
    <t>Glissier de securite Type GS4</t>
  </si>
  <si>
    <t>TRAVAUX D'INVESTIGATION GEOTECHNIQUE</t>
  </si>
  <si>
    <t>AUTRES TRAVAUX</t>
  </si>
  <si>
    <t>Vidange de fond du bassin inférieur, y compris vannes de maneouvre</t>
  </si>
  <si>
    <t>Déversoir de sécurité à seuil libre du bassin inférieur</t>
  </si>
  <si>
    <t>Installation et mise en service de l'équipement HYDRO ET ELECTROMECHANIQUES</t>
  </si>
  <si>
    <t>Installation et mise en service de l'équipement électrique</t>
  </si>
  <si>
    <t>Installation et mise en service du syteme d'auscultation</t>
  </si>
  <si>
    <t>4.2.1</t>
  </si>
  <si>
    <t>4.2.2</t>
  </si>
  <si>
    <t>4.2.2.1</t>
  </si>
  <si>
    <t>4.2.2.2</t>
  </si>
  <si>
    <t>4.2.2.3</t>
  </si>
  <si>
    <t>4.2.2.4</t>
  </si>
  <si>
    <t>4.2.2.5</t>
  </si>
  <si>
    <t>4.2.2.6</t>
  </si>
  <si>
    <t>4.2.2.7</t>
  </si>
  <si>
    <t>4.2.2.8</t>
  </si>
  <si>
    <t>4.2.2.9</t>
  </si>
  <si>
    <t>4.2.2.10</t>
  </si>
  <si>
    <t>4.2.3</t>
  </si>
  <si>
    <t>4.2.3.1</t>
  </si>
  <si>
    <t>4.2.3.2</t>
  </si>
  <si>
    <t>4.2.3.3</t>
  </si>
  <si>
    <t>4.2.3.4</t>
  </si>
  <si>
    <t>4.2.3.5</t>
  </si>
  <si>
    <t>4.2.3.6</t>
  </si>
  <si>
    <t>4.2.3.7</t>
  </si>
  <si>
    <t>4.2.3.8</t>
  </si>
  <si>
    <t>4.2.3.9</t>
  </si>
  <si>
    <t>4.2.3.10</t>
  </si>
  <si>
    <t>4.2.3.11</t>
  </si>
  <si>
    <t>4.2.3.12</t>
  </si>
  <si>
    <t>4.2.3.13</t>
  </si>
  <si>
    <t>4.2.3.14</t>
  </si>
  <si>
    <t>4.2.3.15</t>
  </si>
  <si>
    <t>4.2.3.16</t>
  </si>
  <si>
    <t>4.2.3.17</t>
  </si>
  <si>
    <t>4.2.4</t>
  </si>
  <si>
    <t>4.2.4.1</t>
  </si>
  <si>
    <t>4.2.4.2</t>
  </si>
  <si>
    <t>4.2.4.3</t>
  </si>
  <si>
    <t>4.2.4.4</t>
  </si>
  <si>
    <t>4.2.4.5</t>
  </si>
  <si>
    <t>4.2.4.6</t>
  </si>
  <si>
    <t>4.2.4.7</t>
  </si>
  <si>
    <t>4.2.4.8</t>
  </si>
  <si>
    <t>4.2.4.9</t>
  </si>
  <si>
    <t>4.2.4.10</t>
  </si>
  <si>
    <t>4.2.4.11</t>
  </si>
  <si>
    <t>4.2.4.12</t>
  </si>
  <si>
    <t>4.2.4.13</t>
  </si>
  <si>
    <t>4.2.4.14</t>
  </si>
  <si>
    <t>4.2.4.15</t>
  </si>
  <si>
    <t>4.2.4.16</t>
  </si>
  <si>
    <t>4.2.4.17</t>
  </si>
  <si>
    <t>4.2.5</t>
  </si>
  <si>
    <t>4.2.5.1</t>
  </si>
  <si>
    <t>4.2.5.2</t>
  </si>
  <si>
    <t>4.2.5.3</t>
  </si>
  <si>
    <t>4.2.5.4</t>
  </si>
  <si>
    <t>4.2.5.6</t>
  </si>
  <si>
    <t>4.2.5.7</t>
  </si>
  <si>
    <t>4.2.5.8</t>
  </si>
  <si>
    <t>4.2.6</t>
  </si>
  <si>
    <t>4.2.6.1</t>
  </si>
  <si>
    <t>4.2.6.2</t>
  </si>
  <si>
    <t>4.2.6.3</t>
  </si>
  <si>
    <t>4.2.6.4</t>
  </si>
  <si>
    <t>4.2.6.5</t>
  </si>
  <si>
    <t>4.2.6.6</t>
  </si>
  <si>
    <t>4.2.7</t>
  </si>
  <si>
    <t>4.2.7.1</t>
  </si>
  <si>
    <t>4.2.7.2</t>
  </si>
  <si>
    <t>4.2.7.3</t>
  </si>
  <si>
    <t>4.2.7.4</t>
  </si>
  <si>
    <t>4.2.7.5</t>
  </si>
  <si>
    <t>4.2.7.6</t>
  </si>
  <si>
    <t>4.2.7.7</t>
  </si>
  <si>
    <t>4.2.7.8</t>
  </si>
  <si>
    <t>4.2.7.9</t>
  </si>
  <si>
    <t>4.2.7.10</t>
  </si>
  <si>
    <t>4.2.7.11</t>
  </si>
  <si>
    <t>4.2.7.12</t>
  </si>
  <si>
    <t>4.2.7.13</t>
  </si>
  <si>
    <t>4.2.7.14</t>
  </si>
  <si>
    <t>4.2.7.15</t>
  </si>
  <si>
    <t>4.2.7.16</t>
  </si>
  <si>
    <t>4.2.7.17</t>
  </si>
  <si>
    <t>4.2.8</t>
  </si>
  <si>
    <t>4.2.8.1</t>
  </si>
  <si>
    <t>4.2.8.2</t>
  </si>
  <si>
    <t>4.2.8.3</t>
  </si>
  <si>
    <t>4.2.8.4</t>
  </si>
  <si>
    <t>4.2.8.5</t>
  </si>
  <si>
    <t>4.2.9</t>
  </si>
  <si>
    <t>4.2.9.1</t>
  </si>
  <si>
    <t>4.2.9.2</t>
  </si>
  <si>
    <t>4.2.9.3</t>
  </si>
  <si>
    <t>4.2.9.4</t>
  </si>
  <si>
    <t>4.2.9.5</t>
  </si>
  <si>
    <t>4.2.9.6</t>
  </si>
  <si>
    <t>4.2.9.7</t>
  </si>
  <si>
    <t>4.2.9.8</t>
  </si>
  <si>
    <t>4.2.9.9</t>
  </si>
  <si>
    <t>4.2.9.10</t>
  </si>
  <si>
    <t>4.2.9.11</t>
  </si>
  <si>
    <t>4.2.9.11.1</t>
  </si>
  <si>
    <t>4.2.9.11.2</t>
  </si>
  <si>
    <t>4.2.10</t>
  </si>
  <si>
    <t>4.2.10.1</t>
  </si>
  <si>
    <t>4.2.10.2</t>
  </si>
  <si>
    <t>4.2.10.3</t>
  </si>
  <si>
    <t>4.2.10.4</t>
  </si>
  <si>
    <t>4.2.10.5</t>
  </si>
  <si>
    <t>4.2.10.6</t>
  </si>
  <si>
    <t>4.2.10.7</t>
  </si>
  <si>
    <t>4.2.10.8</t>
  </si>
  <si>
    <t>4.2.11</t>
  </si>
  <si>
    <t>4.3.1.1</t>
  </si>
  <si>
    <t>4.3.1.2</t>
  </si>
  <si>
    <t>4.3.1.3</t>
  </si>
  <si>
    <t>4.3.1.4</t>
  </si>
  <si>
    <t>4.3.1.5</t>
  </si>
  <si>
    <t>4.3.2.1</t>
  </si>
  <si>
    <t>4.3.2.2</t>
  </si>
  <si>
    <t>4.3.2.3</t>
  </si>
  <si>
    <t>4.3.2.4</t>
  </si>
  <si>
    <t>4.3.2.5</t>
  </si>
  <si>
    <t>4.3.2.6</t>
  </si>
  <si>
    <t>4.3.2.7</t>
  </si>
  <si>
    <t>4.3.3.1</t>
  </si>
  <si>
    <t>4.3.3.2</t>
  </si>
  <si>
    <t>4.3.3.3</t>
  </si>
  <si>
    <t>4.3.3.4</t>
  </si>
  <si>
    <t>4.3.3.5</t>
  </si>
  <si>
    <t>4.3.3.6</t>
  </si>
  <si>
    <t>4.3.4.1</t>
  </si>
  <si>
    <t>4.3.4.2</t>
  </si>
  <si>
    <t>4.3.4.3</t>
  </si>
  <si>
    <t>4.3.5.1</t>
  </si>
  <si>
    <t>4.3.5.2</t>
  </si>
  <si>
    <t>4.3.5.3</t>
  </si>
  <si>
    <t>4.3.5.4</t>
  </si>
  <si>
    <t>4.3.6.1</t>
  </si>
  <si>
    <t>4.3.6.2</t>
  </si>
  <si>
    <t>4.3.6.3</t>
  </si>
  <si>
    <t>4.3.6.4</t>
  </si>
  <si>
    <t>4.3.6.5</t>
  </si>
  <si>
    <t>4.3.6.6</t>
  </si>
  <si>
    <t>4.3.7.1</t>
  </si>
  <si>
    <t>4.4.1.1</t>
  </si>
  <si>
    <t>4.4.1.2</t>
  </si>
  <si>
    <t>4.4.1.3</t>
  </si>
  <si>
    <t>4.4.1.4</t>
  </si>
  <si>
    <t>4.4.1.5</t>
  </si>
  <si>
    <t>4.4.1.6</t>
  </si>
  <si>
    <t>4.4.1.7</t>
  </si>
  <si>
    <t>4.4.1.8</t>
  </si>
  <si>
    <t>4.4.2.1</t>
  </si>
  <si>
    <t>4.4.3.1</t>
  </si>
  <si>
    <t>4.4.3.2</t>
  </si>
  <si>
    <t>4.4.3.3</t>
  </si>
  <si>
    <t>4.4.3.4</t>
  </si>
  <si>
    <t>4.4.5.1</t>
  </si>
  <si>
    <t>4.4.5.2</t>
  </si>
  <si>
    <t>4.4.5.3</t>
  </si>
  <si>
    <t>4.4.5.4</t>
  </si>
  <si>
    <t>4.4.5.5</t>
  </si>
  <si>
    <t>4.4.5.6</t>
  </si>
  <si>
    <t>4.4.6.1</t>
  </si>
  <si>
    <t>4.4.6.2</t>
  </si>
  <si>
    <t>4.4.6.3</t>
  </si>
  <si>
    <t>4.4.6.4</t>
  </si>
  <si>
    <t>4.4.7.1</t>
  </si>
  <si>
    <t>4.6.</t>
  </si>
  <si>
    <t>Connecteurs (goujons) Ø22 mm x 200 mm avec fyk = 350 MPa et fuk = 450 MPa</t>
  </si>
  <si>
    <t>Injections de consolidation et de remplissage</t>
  </si>
  <si>
    <t xml:space="preserve">Cellule de connexion aux shunts pour l'alimentation de l'excitation et du convertisseur de fréquence et des services auxiliaires </t>
  </si>
  <si>
    <t>Cellule de dérivation pour le transformateur d'excitation</t>
  </si>
  <si>
    <t>Excitation et transformateur d'excitation</t>
  </si>
  <si>
    <r>
      <t>Voirie</t>
    </r>
    <r>
      <rPr>
        <sz val="11"/>
        <color theme="1"/>
        <rFont val="Calibri"/>
        <family val="2"/>
        <scheme val="minor"/>
      </rPr>
      <t xml:space="preserve"> </t>
    </r>
    <r>
      <rPr>
        <sz val="11"/>
        <color rgb="FF000000"/>
        <rFont val="Calibri"/>
        <family val="2"/>
        <scheme val="minor"/>
      </rPr>
      <t>et accès provisoires de chantier y compris réhabilitation et revêtement à la fin des travaux</t>
    </r>
  </si>
  <si>
    <t>Total 4.2</t>
  </si>
  <si>
    <t>Total 4.3</t>
  </si>
  <si>
    <t>Total 4.4</t>
  </si>
  <si>
    <t>Total 4.5</t>
  </si>
  <si>
    <t>Total 4.6</t>
  </si>
  <si>
    <t>Poste électrique 400kV - génie civil</t>
  </si>
  <si>
    <t>Batîment technique - génie civil</t>
  </si>
  <si>
    <t>Magasin et atelier - génie civil</t>
  </si>
  <si>
    <t>Portique roulant du bassin supérieur</t>
  </si>
  <si>
    <t>Portique roulant du bassin inferieur</t>
  </si>
  <si>
    <t>Système de mise à la terre</t>
  </si>
  <si>
    <t>Equipement, structures métaliques, système alimentation et commande contrôle (protections électriques inclus) pour les panneaux suivants : Deux panneaux de transformateur ; Deux panneaux de ligne (400kV lignes : Bourdim et Oualili) ; Un panneau de bus ; Un double bus.</t>
  </si>
  <si>
    <t>1.2.5.7</t>
  </si>
  <si>
    <t>Installation de télécomunications</t>
  </si>
  <si>
    <t>4.4.3.5</t>
  </si>
  <si>
    <t>4.4.5.7</t>
  </si>
  <si>
    <t>Système de premier remplissage et d'appoint</t>
  </si>
  <si>
    <t>CONVERTISSEUR STATIQUE DE FREQUENCE</t>
  </si>
  <si>
    <t>CONVERTISSEUR STATIQUE DE FREQUENCE (CSF)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</si>
</sst>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2" formatCode="_-* #,##0\ &quot;€&quot;_-;\-* #,##0\ &quot;€&quot;_-;_-* &quot;-&quot;\ &quot;€&quot;_-;_-@_-"/>
    <numFmt numFmtId="44" formatCode="_-* #,##0.00\ &quot;€&quot;_-;\-* #,##0.00\ &quot;€&quot;_-;_-* &quot;-&quot;??\ &quot;€&quot;_-;_-@_-"/>
    <numFmt numFmtId="164" formatCode="#,##0\ &quot;€&quot;"/>
    <numFmt numFmtId="165" formatCode="#,##0\ [$MAD]"/>
    <numFmt numFmtId="166" formatCode="_-* #,##0.00\ [$€-407]_-;\-* #,##0.00\ [$€-407]_-;_-* &quot;-&quot;??\ [$€-407]_-;_-@_-"/>
    <numFmt numFmtId="167" formatCode="_-* #,##0\ [$€-407]_-;\-* #,##0\ [$€-407]_-;_-* &quot;-&quot;??\ [$€-407]_-;_-@_-"/>
    <numFmt numFmtId="168" formatCode="_-* #,##0\ &quot;€&quot;_-;\-* #,##0\ &quot;€&quot;_-;_-* &quot;-&quot;??\ &quot;€&quot;_-;_-@_-"/>
    <numFmt numFmtId="169" formatCode="#,##0.000\ [$MAD]"/>
    <numFmt numFmtId="170" formatCode="_ [$€-2]\ * #,##0.00_ ;_ [$€-2]\ * \-#,##0.00_ ;_ [$€-2]\ * &quot;-&quot;??_ "/>
    <numFmt numFmtId="171" formatCode="_-* #,##0.00\ [$MAD]_-;\-* #,##0.00\ [$MAD]_-;_-* &quot;-&quot;??\ [$MAD]_-;_-@_-"/>
    <numFmt numFmtId="172" formatCode="_-* #,##0\ [$MAD]_-;\-* #,##0\ [$MAD]_-;_-* &quot;-&quot;??\ [$MAD]_-;_-@_-"/>
    <numFmt numFmtId="173" formatCode="_-* #,##0\ [$MAD]_-;\-* #,##0\ [$MAD]_-;_-* &quot;-&quot;\ [$MAD]_-;_-@_-"/>
    <numFmt numFmtId="174" formatCode="#,##0.00\ [$MAD];\-#,##0.00\ [$MAD]"/>
    <numFmt numFmtId="175" formatCode="#,##0.00\ [$€-816];\-#,##0.00\ [$€-816]"/>
    <numFmt numFmtId="176" formatCode="_-[$$-409]* #,##0_ ;_-[$$-409]* \-#,##0\ ;_-[$$-409]* &quot;-&quot;_ ;_-@_ "/>
  </numFmts>
  <fonts count="74">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0"/>
      <color theme="1"/>
      <name val="Calibri"/>
      <family val="2"/>
    </font>
    <font>
      <b/>
      <sz val="10"/>
      <color theme="1"/>
      <name val="Arial"/>
      <family val="2"/>
    </font>
    <font>
      <sz val="11"/>
      <color theme="1"/>
      <name val="Calibri"/>
      <family val="2"/>
    </font>
    <font>
      <b/>
      <u/>
      <sz val="11"/>
      <color theme="1"/>
      <name val="Calibri"/>
      <family val="2"/>
    </font>
    <font>
      <b/>
      <i/>
      <sz val="11"/>
      <color theme="1"/>
      <name val="Calibri"/>
      <family val="2"/>
    </font>
    <font>
      <vertAlign val="superscript"/>
      <sz val="11"/>
      <color theme="1"/>
      <name val="Calibri"/>
      <family val="2"/>
    </font>
    <font>
      <b/>
      <u/>
      <sz val="10"/>
      <color theme="1"/>
      <name val="Arial"/>
      <family val="2"/>
    </font>
    <font>
      <b/>
      <sz val="10"/>
      <color theme="1"/>
      <name val="Calibri"/>
      <family val="2"/>
    </font>
    <font>
      <b/>
      <sz val="11"/>
      <color rgb="FF000000"/>
      <name val="Calibri"/>
      <family val="2"/>
    </font>
    <font>
      <sz val="10"/>
      <color theme="1"/>
      <name val="Arial"/>
      <family val="2"/>
    </font>
    <font>
      <sz val="10"/>
      <color rgb="FFFF0000"/>
      <name val="Arial"/>
      <family val="2"/>
    </font>
    <font>
      <b/>
      <sz val="12"/>
      <color theme="1"/>
      <name val="Calibri"/>
      <family val="2"/>
    </font>
    <font>
      <sz val="10"/>
      <name val="MS Sans Serif"/>
      <family val="2"/>
    </font>
    <font>
      <sz val="10"/>
      <name val="Arial"/>
      <family val="2"/>
    </font>
    <font>
      <sz val="11"/>
      <color indexed="8"/>
      <name val="Calibri"/>
      <family val="2"/>
    </font>
    <font>
      <sz val="10"/>
      <color indexed="8"/>
      <name val="Arial"/>
      <family val="2"/>
    </font>
    <font>
      <sz val="11"/>
      <color indexed="9"/>
      <name val="Calibri"/>
      <family val="2"/>
    </font>
    <font>
      <sz val="10"/>
      <color indexed="9"/>
      <name val="Arial"/>
      <family val="2"/>
    </font>
    <font>
      <b/>
      <sz val="10"/>
      <color indexed="63"/>
      <name val="Arial"/>
      <family val="2"/>
    </font>
    <font>
      <sz val="11"/>
      <color indexed="20"/>
      <name val="Calibri"/>
      <family val="2"/>
    </font>
    <font>
      <b/>
      <sz val="10"/>
      <color indexed="52"/>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0"/>
      <color indexed="62"/>
      <name val="Arial"/>
      <family val="2"/>
    </font>
    <font>
      <sz val="11"/>
      <color indexed="62"/>
      <name val="Calibri"/>
      <family val="2"/>
    </font>
    <font>
      <b/>
      <sz val="10"/>
      <color indexed="8"/>
      <name val="Arial"/>
      <family val="2"/>
    </font>
    <font>
      <i/>
      <sz val="10"/>
      <color indexed="23"/>
      <name val="Arial"/>
      <family val="2"/>
    </font>
    <font>
      <sz val="10"/>
      <name val="Helv"/>
      <charset val="204"/>
    </font>
    <font>
      <i/>
      <sz val="11"/>
      <color indexed="23"/>
      <name val="Calibri"/>
      <family val="2"/>
    </font>
    <font>
      <sz val="10"/>
      <color indexed="17"/>
      <name val="Arial"/>
      <family val="2"/>
    </font>
    <font>
      <b/>
      <sz val="15"/>
      <color indexed="56"/>
      <name val="Calibri"/>
      <family val="2"/>
    </font>
    <font>
      <b/>
      <sz val="13"/>
      <color indexed="56"/>
      <name val="Calibri"/>
      <family val="2"/>
    </font>
    <font>
      <b/>
      <sz val="11"/>
      <color indexed="56"/>
      <name val="Calibri"/>
      <family val="2"/>
    </font>
    <font>
      <sz val="11"/>
      <color indexed="60"/>
      <name val="Calibri"/>
      <family val="2"/>
    </font>
    <font>
      <sz val="10"/>
      <color indexed="60"/>
      <name val="Arial"/>
      <family val="2"/>
    </font>
    <font>
      <b/>
      <sz val="11"/>
      <color indexed="63"/>
      <name val="Calibri"/>
      <family val="2"/>
    </font>
    <font>
      <sz val="10"/>
      <color indexed="20"/>
      <name val="Arial"/>
      <family val="2"/>
    </font>
    <font>
      <sz val="8"/>
      <name val="Arial"/>
      <family val="2"/>
    </font>
    <font>
      <sz val="11"/>
      <color indexed="10"/>
      <name val="Calibri"/>
      <family val="2"/>
    </font>
    <font>
      <b/>
      <sz val="18"/>
      <color indexed="56"/>
      <name val="Cambria"/>
      <family val="2"/>
    </font>
    <font>
      <b/>
      <sz val="11"/>
      <color indexed="8"/>
      <name val="Calibri"/>
      <family val="2"/>
    </font>
    <font>
      <b/>
      <sz val="18"/>
      <color indexed="24"/>
      <name val="Cambria"/>
      <family val="2"/>
    </font>
    <font>
      <b/>
      <sz val="15"/>
      <color indexed="24"/>
      <name val="Arial"/>
      <family val="2"/>
    </font>
    <font>
      <b/>
      <sz val="13"/>
      <color indexed="24"/>
      <name val="Arial"/>
      <family val="2"/>
    </font>
    <font>
      <b/>
      <sz val="11"/>
      <color indexed="24"/>
      <name val="Arial"/>
      <family val="2"/>
    </font>
    <font>
      <sz val="10"/>
      <color indexed="52"/>
      <name val="Arial"/>
      <family val="2"/>
    </font>
    <font>
      <sz val="10"/>
      <color indexed="10"/>
      <name val="Arial"/>
      <family val="2"/>
    </font>
    <font>
      <b/>
      <sz val="10"/>
      <color indexed="9"/>
      <name val="Arial"/>
      <family val="2"/>
    </font>
    <font>
      <sz val="9"/>
      <color theme="4"/>
      <name val="Arial"/>
      <family val="2"/>
    </font>
    <font>
      <sz val="10"/>
      <color theme="4"/>
      <name val="Arial"/>
      <family val="2"/>
    </font>
    <font>
      <b/>
      <sz val="11"/>
      <name val="Calibri"/>
      <family val="2"/>
    </font>
    <font>
      <sz val="10"/>
      <name val="Calibri"/>
      <family val="2"/>
    </font>
    <font>
      <sz val="11"/>
      <name val="Calibri"/>
      <family val="2"/>
    </font>
    <font>
      <sz val="10"/>
      <color rgb="FF0000FF"/>
      <name val="Calibri"/>
      <family val="2"/>
    </font>
    <font>
      <b/>
      <sz val="11"/>
      <color theme="1"/>
      <name val="Calibri"/>
      <family val="2"/>
      <scheme val="minor"/>
    </font>
    <font>
      <b/>
      <sz val="10"/>
      <name val="Arial"/>
      <family val="2"/>
    </font>
    <font>
      <b/>
      <sz val="11"/>
      <name val="Calibri"/>
      <family val="2"/>
      <scheme val="minor"/>
    </font>
    <font>
      <sz val="11"/>
      <name val="Calibri"/>
      <family val="2"/>
      <scheme val="minor"/>
    </font>
    <font>
      <b/>
      <i/>
      <sz val="11"/>
      <name val="Calibri"/>
      <family val="2"/>
      <scheme val="minor"/>
    </font>
    <font>
      <sz val="11"/>
      <color rgb="FF000000"/>
      <name val="Calibri"/>
      <family val="2"/>
      <scheme val="minor"/>
    </font>
    <font>
      <i/>
      <sz val="11"/>
      <name val="Calibri"/>
      <family val="2"/>
      <scheme val="minor"/>
    </font>
    <font>
      <i/>
      <sz val="10"/>
      <color theme="1"/>
      <name val="Arial"/>
      <family val="2"/>
    </font>
    <font>
      <sz val="11"/>
      <color rgb="FF000000"/>
      <name val="Calibri"/>
      <family val="2"/>
    </font>
    <font>
      <b/>
      <sz val="11"/>
      <color rgb="FF000000"/>
      <name val="Calibri"/>
      <family val="2"/>
      <scheme val="minor"/>
    </font>
    <font>
      <sz val="11"/>
      <color rgb="FF0070C0"/>
      <name val="Calibri"/>
      <family val="2"/>
      <scheme val="minor"/>
    </font>
  </fonts>
  <fills count="40">
    <fill>
      <patternFill patternType="none"/>
    </fill>
    <fill>
      <patternFill patternType="gray125"/>
    </fill>
    <fill>
      <patternFill patternType="solid">
        <fgColor theme="3"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36"/>
      </patternFill>
    </fill>
    <fill>
      <patternFill patternType="solid">
        <fgColor indexed="25"/>
      </patternFill>
    </fill>
    <fill>
      <patternFill patternType="solid">
        <fgColor indexed="35"/>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3"/>
      </patternFill>
    </fill>
    <fill>
      <patternFill patternType="solid">
        <fgColor indexed="22"/>
      </patternFill>
    </fill>
    <fill>
      <patternFill patternType="solid">
        <fgColor indexed="32"/>
      </patternFill>
    </fill>
    <fill>
      <patternFill patternType="solid">
        <fgColor indexed="30"/>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8"/>
      </patternFill>
    </fill>
    <fill>
      <patternFill patternType="solid">
        <fgColor indexed="54"/>
      </patternFill>
    </fill>
    <fill>
      <patternFill patternType="solid">
        <fgColor indexed="38"/>
      </patternFill>
    </fill>
    <fill>
      <patternFill patternType="solid">
        <fgColor indexed="55"/>
      </patternFill>
    </fill>
    <fill>
      <patternFill patternType="solid">
        <fgColor indexed="43"/>
      </patternFill>
    </fill>
    <fill>
      <patternFill patternType="solid">
        <fgColor indexed="26"/>
      </patternFill>
    </fill>
    <fill>
      <patternFill patternType="solid">
        <fgColor theme="8" tint="0.59999389629810485"/>
        <bgColor indexed="64"/>
      </patternFill>
    </fill>
    <fill>
      <patternFill patternType="solid">
        <fgColor rgb="FFEEEFCE"/>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28"/>
      </top>
      <bottom style="double">
        <color indexed="28"/>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thick">
        <color indexed="28"/>
      </bottom>
      <diagonal/>
    </border>
    <border>
      <left/>
      <right/>
      <top/>
      <bottom style="thick">
        <color indexed="31"/>
      </bottom>
      <diagonal/>
    </border>
    <border>
      <left/>
      <right/>
      <top/>
      <bottom style="medium">
        <color indexed="29"/>
      </bottom>
      <diagonal/>
    </border>
  </borders>
  <cellStyleXfs count="143">
    <xf numFmtId="0" fontId="0" fillId="0" borderId="0"/>
    <xf numFmtId="44" fontId="16" fillId="0" borderId="0" applyFont="0" applyFill="0" applyBorder="0" applyAlignment="0" applyProtection="0"/>
    <xf numFmtId="0" fontId="5" fillId="0" borderId="0"/>
    <xf numFmtId="9" fontId="5" fillId="0" borderId="0" applyFont="0" applyFill="0" applyBorder="0" applyAlignment="0" applyProtection="0"/>
    <xf numFmtId="0" fontId="19" fillId="0" borderId="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2" fillId="13" borderId="0" applyNumberFormat="0" applyBorder="0" applyAlignment="0" applyProtection="0"/>
    <xf numFmtId="0" fontId="22" fillId="13"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2"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2" fillId="22" borderId="0" applyNumberFormat="0" applyBorder="0" applyAlignment="0" applyProtection="0"/>
    <xf numFmtId="0" fontId="22" fillId="13" borderId="0" applyNumberFormat="0" applyBorder="0" applyAlignment="0" applyProtection="0"/>
    <xf numFmtId="0" fontId="22" fillId="13"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14"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2"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3" fillId="25"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1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24" fillId="19"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23" borderId="0" applyNumberFormat="0" applyBorder="0" applyAlignment="0" applyProtection="0"/>
    <xf numFmtId="0" fontId="24" fillId="25" borderId="0" applyNumberFormat="0" applyBorder="0" applyAlignment="0" applyProtection="0"/>
    <xf numFmtId="0" fontId="24" fillId="14" borderId="0" applyNumberFormat="0" applyBorder="0" applyAlignment="0" applyProtection="0"/>
    <xf numFmtId="0" fontId="23" fillId="25"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1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15" borderId="0" applyNumberFormat="0" applyBorder="0" applyAlignment="0" applyProtection="0"/>
    <xf numFmtId="0" fontId="23" fillId="26" borderId="0" applyNumberFormat="0" applyBorder="0" applyAlignment="0" applyProtection="0"/>
    <xf numFmtId="0" fontId="23" fillId="31" borderId="0" applyNumberFormat="0" applyBorder="0" applyAlignment="0" applyProtection="0"/>
    <xf numFmtId="0" fontId="24" fillId="32"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4" fillId="33" borderId="0" applyNumberFormat="0" applyBorder="0" applyAlignment="0" applyProtection="0"/>
    <xf numFmtId="0" fontId="24" fillId="26" borderId="0" applyNumberFormat="0" applyBorder="0" applyAlignment="0" applyProtection="0"/>
    <xf numFmtId="0" fontId="24" fillId="31" borderId="0" applyNumberFormat="0" applyBorder="0" applyAlignment="0" applyProtection="0"/>
    <xf numFmtId="0" fontId="25" fillId="34" borderId="16" applyNumberFormat="0" applyAlignment="0" applyProtection="0"/>
    <xf numFmtId="0" fontId="26" fillId="10" borderId="0" applyNumberFormat="0" applyBorder="0" applyAlignment="0" applyProtection="0"/>
    <xf numFmtId="0" fontId="27" fillId="34" borderId="17" applyNumberFormat="0" applyAlignment="0" applyProtection="0"/>
    <xf numFmtId="0" fontId="28" fillId="11" borderId="0" applyNumberFormat="0" applyBorder="0" applyAlignment="0" applyProtection="0"/>
    <xf numFmtId="0" fontId="29" fillId="23" borderId="17" applyNumberFormat="0" applyAlignment="0" applyProtection="0"/>
    <xf numFmtId="0" fontId="29" fillId="23" borderId="17" applyNumberFormat="0" applyAlignment="0" applyProtection="0"/>
    <xf numFmtId="0" fontId="30" fillId="35" borderId="18" applyNumberFormat="0" applyAlignment="0" applyProtection="0"/>
    <xf numFmtId="0" fontId="31" fillId="0" borderId="19" applyNumberFormat="0" applyFill="0" applyAlignment="0" applyProtection="0"/>
    <xf numFmtId="0" fontId="30" fillId="35" borderId="18" applyNumberFormat="0" applyAlignment="0" applyProtection="0"/>
    <xf numFmtId="40" fontId="19" fillId="0" borderId="0" applyFont="0" applyFill="0" applyBorder="0" applyAlignment="0" applyProtection="0"/>
    <xf numFmtId="0" fontId="32" fillId="14" borderId="17" applyNumberFormat="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15" borderId="0" applyNumberFormat="0" applyBorder="0" applyAlignment="0" applyProtection="0"/>
    <xf numFmtId="0" fontId="23" fillId="26" borderId="0" applyNumberFormat="0" applyBorder="0" applyAlignment="0" applyProtection="0"/>
    <xf numFmtId="0" fontId="23" fillId="31" borderId="0" applyNumberFormat="0" applyBorder="0" applyAlignment="0" applyProtection="0"/>
    <xf numFmtId="0" fontId="33" fillId="14" borderId="17" applyNumberFormat="0" applyAlignment="0" applyProtection="0"/>
    <xf numFmtId="0" fontId="34" fillId="0" borderId="20" applyNumberFormat="0" applyFill="0" applyAlignment="0" applyProtection="0"/>
    <xf numFmtId="0" fontId="35" fillId="0" borderId="0" applyNumberFormat="0" applyFill="0" applyBorder="0" applyAlignment="0" applyProtection="0"/>
    <xf numFmtId="0" fontId="36" fillId="0" borderId="0"/>
    <xf numFmtId="170" fontId="20" fillId="0" borderId="0" applyFont="0" applyFill="0" applyBorder="0" applyAlignment="0" applyProtection="0"/>
    <xf numFmtId="0" fontId="37" fillId="0" borderId="0" applyNumberFormat="0" applyFill="0" applyBorder="0" applyAlignment="0" applyProtection="0"/>
    <xf numFmtId="0" fontId="28" fillId="11" borderId="0" applyNumberFormat="0" applyBorder="0" applyAlignment="0" applyProtection="0"/>
    <xf numFmtId="0" fontId="38" fillId="11" borderId="0" applyNumberFormat="0" applyBorder="0" applyAlignment="0" applyProtection="0"/>
    <xf numFmtId="0" fontId="39" fillId="0" borderId="21" applyNumberFormat="0" applyFill="0" applyAlignment="0" applyProtection="0"/>
    <xf numFmtId="0" fontId="40" fillId="0" borderId="22" applyNumberFormat="0" applyFill="0" applyAlignment="0" applyProtection="0"/>
    <xf numFmtId="0" fontId="41" fillId="0" borderId="23" applyNumberFormat="0" applyFill="0" applyAlignment="0" applyProtection="0"/>
    <xf numFmtId="0" fontId="41" fillId="0" borderId="0" applyNumberFormat="0" applyFill="0" applyBorder="0" applyAlignment="0" applyProtection="0"/>
    <xf numFmtId="0" fontId="26" fillId="10" borderId="0" applyNumberFormat="0" applyBorder="0" applyAlignment="0" applyProtection="0"/>
    <xf numFmtId="0" fontId="33" fillId="14" borderId="17" applyNumberFormat="0" applyAlignment="0" applyProtection="0"/>
    <xf numFmtId="0" fontId="31" fillId="0" borderId="19" applyNumberFormat="0" applyFill="0" applyAlignment="0" applyProtection="0"/>
    <xf numFmtId="0" fontId="42" fillId="36" borderId="0" applyNumberFormat="0" applyBorder="0" applyAlignment="0" applyProtection="0"/>
    <xf numFmtId="0" fontId="43" fillId="36" borderId="0" applyNumberFormat="0" applyBorder="0" applyAlignment="0" applyProtection="0"/>
    <xf numFmtId="0" fontId="20" fillId="0" borderId="0"/>
    <xf numFmtId="0" fontId="20" fillId="0" borderId="0"/>
    <xf numFmtId="0" fontId="19" fillId="0" borderId="0"/>
    <xf numFmtId="0" fontId="20" fillId="37" borderId="24" applyNumberFormat="0" applyFont="0" applyAlignment="0" applyProtection="0"/>
    <xf numFmtId="0" fontId="20" fillId="37" borderId="24" applyNumberFormat="0" applyFont="0" applyAlignment="0" applyProtection="0"/>
    <xf numFmtId="0" fontId="20" fillId="36" borderId="24" applyNumberFormat="0" applyFont="0" applyAlignment="0" applyProtection="0"/>
    <xf numFmtId="0" fontId="44" fillId="23" borderId="16"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0" fontId="44" fillId="23" borderId="16" applyNumberFormat="0" applyAlignment="0" applyProtection="0"/>
    <xf numFmtId="0" fontId="45" fillId="10" borderId="0" applyNumberFormat="0" applyBorder="0" applyAlignment="0" applyProtection="0"/>
    <xf numFmtId="0" fontId="46" fillId="0" borderId="6" applyNumberFormat="0" applyFill="0" applyBorder="0" applyAlignment="0"/>
    <xf numFmtId="0" fontId="20" fillId="0" borderId="0"/>
    <xf numFmtId="0" fontId="47" fillId="0" borderId="0" applyNumberFormat="0" applyFill="0" applyBorder="0" applyAlignment="0" applyProtection="0"/>
    <xf numFmtId="0" fontId="37"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39" fillId="0" borderId="21" applyNumberFormat="0" applyFill="0" applyAlignment="0" applyProtection="0"/>
    <xf numFmtId="0" fontId="40" fillId="0" borderId="22" applyNumberFormat="0" applyFill="0" applyAlignment="0" applyProtection="0"/>
    <xf numFmtId="0" fontId="41" fillId="0" borderId="23" applyNumberFormat="0" applyFill="0" applyAlignment="0" applyProtection="0"/>
    <xf numFmtId="0" fontId="41" fillId="0" borderId="0" applyNumberFormat="0" applyFill="0" applyBorder="0" applyAlignment="0" applyProtection="0"/>
    <xf numFmtId="0" fontId="49" fillId="0" borderId="25" applyNumberFormat="0" applyFill="0" applyAlignment="0" applyProtection="0"/>
    <xf numFmtId="0" fontId="49" fillId="0" borderId="25" applyNumberFormat="0" applyFill="0" applyAlignment="0" applyProtection="0"/>
    <xf numFmtId="0" fontId="49" fillId="0" borderId="25" applyNumberFormat="0" applyFill="0" applyAlignment="0" applyProtection="0"/>
    <xf numFmtId="0" fontId="50" fillId="0" borderId="0" applyNumberFormat="0" applyFill="0" applyBorder="0" applyAlignment="0" applyProtection="0"/>
    <xf numFmtId="0" fontId="51" fillId="0" borderId="26" applyNumberFormat="0" applyFill="0" applyAlignment="0" applyProtection="0"/>
    <xf numFmtId="0" fontId="52" fillId="0" borderId="27" applyNumberFormat="0" applyFill="0" applyAlignment="0" applyProtection="0"/>
    <xf numFmtId="0" fontId="53" fillId="0" borderId="28" applyNumberFormat="0" applyFill="0" applyAlignment="0" applyProtection="0"/>
    <xf numFmtId="0" fontId="53" fillId="0" borderId="0" applyNumberFormat="0" applyFill="0" applyBorder="0" applyAlignment="0" applyProtection="0"/>
    <xf numFmtId="0" fontId="48" fillId="0" borderId="0" applyNumberFormat="0" applyFill="0" applyBorder="0" applyAlignment="0" applyProtection="0"/>
    <xf numFmtId="0" fontId="54" fillId="0" borderId="19" applyNumberFormat="0" applyFill="0" applyAlignment="0" applyProtection="0"/>
    <xf numFmtId="0" fontId="55" fillId="0" borderId="0" applyNumberFormat="0" applyFill="0" applyBorder="0" applyAlignment="0" applyProtection="0"/>
    <xf numFmtId="0" fontId="47" fillId="0" borderId="0" applyNumberFormat="0" applyFill="0" applyBorder="0" applyAlignment="0" applyProtection="0"/>
    <xf numFmtId="0" fontId="56" fillId="35" borderId="18" applyNumberFormat="0" applyAlignment="0" applyProtection="0"/>
    <xf numFmtId="0" fontId="20" fillId="0" borderId="0"/>
    <xf numFmtId="9" fontId="19" fillId="0" borderId="0" applyFont="0" applyFill="0" applyBorder="0" applyAlignment="0" applyProtection="0"/>
    <xf numFmtId="0" fontId="16" fillId="0" borderId="0"/>
    <xf numFmtId="44" fontId="16" fillId="0" borderId="0" applyFont="0" applyFill="0" applyBorder="0" applyAlignment="0" applyProtection="0"/>
  </cellStyleXfs>
  <cellXfs count="211">
    <xf numFmtId="0" fontId="0" fillId="0" borderId="0" xfId="0"/>
    <xf numFmtId="49" fontId="7" fillId="0" borderId="1" xfId="0" applyNumberFormat="1" applyFont="1" applyBorder="1" applyAlignment="1">
      <alignment vertical="center" wrapText="1"/>
    </xf>
    <xf numFmtId="49" fontId="6" fillId="0" borderId="1" xfId="0" applyNumberFormat="1" applyFont="1" applyBorder="1" applyAlignment="1">
      <alignment vertical="center" wrapText="1"/>
    </xf>
    <xf numFmtId="0" fontId="10" fillId="0" borderId="0" xfId="0" applyFont="1" applyAlignment="1">
      <alignment horizontal="left" vertical="center"/>
    </xf>
    <xf numFmtId="0" fontId="6" fillId="0" borderId="3"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5" xfId="0" applyFont="1" applyBorder="1" applyAlignment="1">
      <alignment horizontal="justify"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49" fontId="11" fillId="0" borderId="5"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0" fontId="10" fillId="0" borderId="0" xfId="0" applyFont="1"/>
    <xf numFmtId="0" fontId="0" fillId="0" borderId="0" xfId="0" applyAlignment="1">
      <alignment horizontal="right"/>
    </xf>
    <xf numFmtId="0" fontId="13" fillId="0" borderId="0" xfId="0" applyFont="1"/>
    <xf numFmtId="0" fontId="9" fillId="0" borderId="0" xfId="0" applyFont="1" applyAlignment="1">
      <alignment vertical="center" wrapText="1"/>
    </xf>
    <xf numFmtId="0" fontId="6" fillId="0" borderId="1" xfId="0" applyFont="1" applyBorder="1" applyAlignment="1">
      <alignment horizontal="justify" vertical="center" wrapText="1"/>
    </xf>
    <xf numFmtId="0" fontId="8" fillId="0" borderId="1" xfId="0" applyFont="1" applyBorder="1" applyAlignment="1">
      <alignment vertical="center"/>
    </xf>
    <xf numFmtId="0" fontId="9" fillId="3" borderId="4" xfId="0" applyFont="1" applyFill="1" applyBorder="1" applyAlignment="1">
      <alignment horizontal="center" vertical="center" wrapText="1"/>
    </xf>
    <xf numFmtId="165" fontId="8" fillId="0" borderId="3" xfId="0" applyNumberFormat="1" applyFont="1" applyBorder="1" applyAlignment="1">
      <alignment horizontal="right" vertical="center" wrapText="1"/>
    </xf>
    <xf numFmtId="164" fontId="0" fillId="4" borderId="1" xfId="0" applyNumberFormat="1" applyFill="1" applyBorder="1"/>
    <xf numFmtId="164" fontId="8" fillId="0" borderId="0" xfId="0" applyNumberFormat="1" applyFont="1"/>
    <xf numFmtId="0" fontId="9" fillId="0" borderId="0" xfId="0" applyFont="1" applyAlignment="1">
      <alignment horizontal="justify" vertical="center" wrapText="1"/>
    </xf>
    <xf numFmtId="0" fontId="9" fillId="0" borderId="15" xfId="0" applyFont="1" applyBorder="1" applyAlignment="1">
      <alignment horizontal="center" vertical="center" wrapText="1"/>
    </xf>
    <xf numFmtId="165" fontId="7" fillId="0" borderId="5" xfId="0" applyNumberFormat="1" applyFont="1" applyBorder="1" applyAlignment="1">
      <alignment horizontal="right" vertical="center" wrapText="1"/>
    </xf>
    <xf numFmtId="165" fontId="7" fillId="3" borderId="5" xfId="0" applyNumberFormat="1" applyFont="1" applyFill="1" applyBorder="1" applyAlignment="1">
      <alignment horizontal="right" vertical="center" wrapText="1"/>
    </xf>
    <xf numFmtId="49" fontId="14" fillId="0" borderId="4" xfId="0" applyNumberFormat="1" applyFont="1" applyBorder="1" applyAlignment="1">
      <alignment horizontal="justify" vertical="center" wrapText="1"/>
    </xf>
    <xf numFmtId="0" fontId="0" fillId="4" borderId="0" xfId="0" applyFill="1" applyAlignment="1">
      <alignment horizontal="centerContinuous"/>
    </xf>
    <xf numFmtId="0" fontId="0" fillId="7" borderId="0" xfId="0" applyFill="1" applyAlignment="1">
      <alignment horizontal="centerContinuous"/>
    </xf>
    <xf numFmtId="167" fontId="9" fillId="3" borderId="1" xfId="0" applyNumberFormat="1" applyFont="1" applyFill="1" applyBorder="1" applyAlignment="1">
      <alignment horizontal="center" vertical="center" wrapText="1"/>
    </xf>
    <xf numFmtId="49" fontId="14" fillId="0" borderId="1" xfId="0" applyNumberFormat="1" applyFont="1" applyBorder="1" applyAlignment="1">
      <alignment horizontal="justify" vertical="center" wrapText="1"/>
    </xf>
    <xf numFmtId="0" fontId="9" fillId="0" borderId="6" xfId="0" applyFont="1" applyBorder="1" applyAlignment="1">
      <alignment horizontal="center" vertical="center" wrapText="1"/>
    </xf>
    <xf numFmtId="168" fontId="9" fillId="0" borderId="1" xfId="1" applyNumberFormat="1" applyFont="1" applyBorder="1" applyAlignment="1">
      <alignment horizontal="center" vertical="center" wrapText="1"/>
    </xf>
    <xf numFmtId="0" fontId="8" fillId="5" borderId="0" xfId="0" applyFont="1" applyFill="1" applyAlignment="1">
      <alignment horizontal="centerContinuous"/>
    </xf>
    <xf numFmtId="0" fontId="8" fillId="6" borderId="0" xfId="0" applyFont="1" applyFill="1" applyAlignment="1">
      <alignment horizontal="centerContinuous"/>
    </xf>
    <xf numFmtId="0" fontId="8" fillId="4" borderId="0" xfId="0" applyFont="1" applyFill="1" applyAlignment="1">
      <alignment horizontal="centerContinuous"/>
    </xf>
    <xf numFmtId="0" fontId="6" fillId="0" borderId="12" xfId="0" applyFont="1" applyBorder="1" applyAlignment="1">
      <alignment horizontal="centerContinuous" vertical="center" wrapText="1"/>
    </xf>
    <xf numFmtId="167" fontId="9" fillId="3" borderId="4" xfId="0" applyNumberFormat="1" applyFont="1" applyFill="1" applyBorder="1" applyAlignment="1">
      <alignment horizontal="center" vertical="center" wrapText="1"/>
    </xf>
    <xf numFmtId="0" fontId="6" fillId="0" borderId="11" xfId="0" applyFont="1" applyBorder="1" applyAlignment="1">
      <alignment horizontal="centerContinuous" vertical="center" wrapText="1"/>
    </xf>
    <xf numFmtId="167" fontId="9" fillId="0" borderId="1" xfId="0" applyNumberFormat="1" applyFont="1" applyBorder="1" applyAlignment="1">
      <alignment horizontal="center" vertical="center" wrapText="1"/>
    </xf>
    <xf numFmtId="0" fontId="9" fillId="3" borderId="1" xfId="0" applyFont="1" applyFill="1" applyBorder="1" applyAlignment="1">
      <alignment horizontal="center" vertical="center" wrapText="1"/>
    </xf>
    <xf numFmtId="0" fontId="8" fillId="7" borderId="0" xfId="0" applyFont="1" applyFill="1" applyAlignment="1">
      <alignment horizontal="centerContinuous"/>
    </xf>
    <xf numFmtId="0" fontId="0" fillId="6" borderId="0" xfId="0" applyFill="1" applyAlignment="1">
      <alignment horizontal="centerContinuous"/>
    </xf>
    <xf numFmtId="165" fontId="6" fillId="0" borderId="1" xfId="0" applyNumberFormat="1" applyFont="1" applyBorder="1" applyAlignment="1">
      <alignment horizontal="center" vertical="center" wrapText="1"/>
    </xf>
    <xf numFmtId="0" fontId="20" fillId="0" borderId="0" xfId="0" applyFont="1"/>
    <xf numFmtId="167" fontId="59" fillId="8" borderId="1" xfId="0" applyNumberFormat="1" applyFont="1" applyFill="1" applyBorder="1" applyAlignment="1">
      <alignment horizontal="center" vertical="center" wrapText="1"/>
    </xf>
    <xf numFmtId="0" fontId="61" fillId="0" borderId="0" xfId="0" applyFont="1" applyAlignment="1">
      <alignment vertical="center" wrapText="1"/>
    </xf>
    <xf numFmtId="167" fontId="0" fillId="0" borderId="0" xfId="0" applyNumberFormat="1"/>
    <xf numFmtId="172" fontId="20" fillId="0" borderId="0" xfId="0" applyNumberFormat="1" applyFont="1"/>
    <xf numFmtId="173" fontId="0" fillId="0" borderId="0" xfId="0" applyNumberFormat="1"/>
    <xf numFmtId="0" fontId="61" fillId="0" borderId="0" xfId="0" applyFont="1" applyAlignment="1">
      <alignment vertical="center"/>
    </xf>
    <xf numFmtId="42" fontId="9" fillId="0" borderId="1" xfId="1" applyNumberFormat="1" applyFont="1" applyBorder="1" applyAlignment="1">
      <alignment horizontal="center" vertical="center" wrapText="1"/>
    </xf>
    <xf numFmtId="42" fontId="9" fillId="3" borderId="4" xfId="0" applyNumberFormat="1" applyFont="1" applyFill="1" applyBorder="1" applyAlignment="1">
      <alignment horizontal="center" vertical="center" wrapText="1"/>
    </xf>
    <xf numFmtId="42" fontId="9" fillId="0" borderId="1" xfId="0" applyNumberFormat="1" applyFont="1" applyBorder="1" applyAlignment="1">
      <alignment horizontal="center" vertical="center" wrapText="1"/>
    </xf>
    <xf numFmtId="173" fontId="6" fillId="0" borderId="3" xfId="0" applyNumberFormat="1" applyFont="1" applyBorder="1" applyAlignment="1">
      <alignment horizontal="center" vertical="center" wrapText="1"/>
    </xf>
    <xf numFmtId="173" fontId="6" fillId="0" borderId="4" xfId="0" applyNumberFormat="1" applyFont="1" applyBorder="1" applyAlignment="1">
      <alignment horizontal="center" vertical="center" wrapText="1"/>
    </xf>
    <xf numFmtId="173" fontId="11" fillId="0" borderId="5" xfId="0" applyNumberFormat="1" applyFont="1" applyBorder="1" applyAlignment="1">
      <alignment horizontal="center" vertical="center" wrapText="1"/>
    </xf>
    <xf numFmtId="173" fontId="9" fillId="0" borderId="1" xfId="0" applyNumberFormat="1" applyFont="1" applyBorder="1" applyAlignment="1">
      <alignment horizontal="center" vertical="center" wrapText="1"/>
    </xf>
    <xf numFmtId="42" fontId="0" fillId="0" borderId="0" xfId="0" applyNumberFormat="1"/>
    <xf numFmtId="42" fontId="6" fillId="0" borderId="3" xfId="0" applyNumberFormat="1" applyFont="1" applyBorder="1" applyAlignment="1">
      <alignment horizontal="center" vertical="center" wrapText="1"/>
    </xf>
    <xf numFmtId="42" fontId="6" fillId="0" borderId="4" xfId="0" applyNumberFormat="1" applyFont="1" applyBorder="1" applyAlignment="1">
      <alignment horizontal="center" vertical="center" wrapText="1"/>
    </xf>
    <xf numFmtId="42" fontId="11" fillId="0" borderId="5" xfId="0" applyNumberFormat="1" applyFont="1" applyBorder="1" applyAlignment="1">
      <alignment horizontal="center" vertical="center" wrapText="1"/>
    </xf>
    <xf numFmtId="0" fontId="6" fillId="0" borderId="0" xfId="0" applyFont="1" applyAlignment="1">
      <alignment horizontal="centerContinuous" vertical="center" wrapText="1"/>
    </xf>
    <xf numFmtId="167" fontId="18" fillId="0" borderId="1" xfId="0" applyNumberFormat="1" applyFont="1" applyBorder="1" applyAlignment="1">
      <alignment vertical="center"/>
    </xf>
    <xf numFmtId="173" fontId="18" fillId="0" borderId="3" xfId="0" applyNumberFormat="1" applyFont="1" applyBorder="1" applyAlignment="1">
      <alignment horizontal="center" vertical="center" wrapText="1"/>
    </xf>
    <xf numFmtId="0" fontId="8" fillId="0" borderId="1" xfId="0" applyFont="1" applyBorder="1" applyAlignment="1">
      <alignment horizontal="center" vertical="center"/>
    </xf>
    <xf numFmtId="0" fontId="9" fillId="0" borderId="0" xfId="0" applyFont="1" applyAlignment="1">
      <alignment horizontal="left" vertical="center"/>
    </xf>
    <xf numFmtId="0" fontId="8"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vertical="center"/>
    </xf>
    <xf numFmtId="0" fontId="58" fillId="0" borderId="0" xfId="0" applyFont="1" applyAlignment="1">
      <alignment horizontal="right"/>
    </xf>
    <xf numFmtId="0" fontId="57" fillId="0" borderId="0" xfId="0" applyFont="1"/>
    <xf numFmtId="0" fontId="58" fillId="0" borderId="0" xfId="0" applyFont="1"/>
    <xf numFmtId="165" fontId="60" fillId="0" borderId="0" xfId="0" applyNumberFormat="1" applyFont="1" applyAlignment="1">
      <alignment horizontal="right" vertical="center" wrapText="1"/>
    </xf>
    <xf numFmtId="165" fontId="8" fillId="0" borderId="0" xfId="0" applyNumberFormat="1" applyFont="1"/>
    <xf numFmtId="165" fontId="0" fillId="0" borderId="0" xfId="0" applyNumberFormat="1"/>
    <xf numFmtId="172" fontId="62" fillId="0" borderId="0" xfId="0" applyNumberFormat="1" applyFont="1" applyAlignment="1">
      <alignment horizontal="right" vertical="center" wrapText="1"/>
    </xf>
    <xf numFmtId="172" fontId="0" fillId="0" borderId="0" xfId="0" applyNumberFormat="1"/>
    <xf numFmtId="167" fontId="18" fillId="2" borderId="3" xfId="0" applyNumberFormat="1" applyFont="1" applyFill="1" applyBorder="1" applyAlignment="1">
      <alignment vertical="center"/>
    </xf>
    <xf numFmtId="173" fontId="18" fillId="2" borderId="3" xfId="0" applyNumberFormat="1" applyFont="1" applyFill="1" applyBorder="1" applyAlignment="1">
      <alignment horizontal="center" vertical="center" wrapText="1"/>
    </xf>
    <xf numFmtId="0" fontId="0" fillId="0" borderId="0" xfId="0" applyAlignment="1">
      <alignment horizontal="center"/>
    </xf>
    <xf numFmtId="0" fontId="8" fillId="0" borderId="0" xfId="0" applyFont="1" applyAlignment="1">
      <alignment horizontal="right"/>
    </xf>
    <xf numFmtId="166" fontId="6" fillId="0" borderId="0" xfId="0" applyNumberFormat="1" applyFont="1" applyAlignment="1">
      <alignment horizontal="right" vertical="center" wrapText="1"/>
    </xf>
    <xf numFmtId="169" fontId="8" fillId="0" borderId="0" xfId="0" applyNumberFormat="1" applyFont="1" applyAlignment="1">
      <alignment horizontal="center" vertical="center" wrapText="1"/>
    </xf>
    <xf numFmtId="164" fontId="0" fillId="0" borderId="0" xfId="0" applyNumberFormat="1"/>
    <xf numFmtId="167" fontId="6" fillId="0" borderId="0" xfId="0" applyNumberFormat="1" applyFont="1" applyAlignment="1">
      <alignment horizontal="right" vertical="center" wrapText="1"/>
    </xf>
    <xf numFmtId="3" fontId="0" fillId="0" borderId="0" xfId="0" applyNumberFormat="1"/>
    <xf numFmtId="3" fontId="17" fillId="0" borderId="0" xfId="0" applyNumberFormat="1" applyFont="1"/>
    <xf numFmtId="0" fontId="6" fillId="0" borderId="1" xfId="0" applyFont="1" applyBorder="1" applyAlignment="1">
      <alignment horizontal="center" vertical="center" wrapText="1"/>
    </xf>
    <xf numFmtId="0" fontId="0" fillId="0" borderId="1" xfId="0" applyBorder="1"/>
    <xf numFmtId="0" fontId="0" fillId="0" borderId="0" xfId="0" applyAlignment="1">
      <alignment horizontal="left"/>
    </xf>
    <xf numFmtId="0" fontId="64" fillId="0" borderId="0" xfId="0" applyFont="1" applyAlignment="1">
      <alignment horizontal="left"/>
    </xf>
    <xf numFmtId="0" fontId="65" fillId="3" borderId="1" xfId="0" applyFont="1" applyFill="1" applyBorder="1" applyAlignment="1">
      <alignment horizontal="left" vertical="center"/>
    </xf>
    <xf numFmtId="0" fontId="65" fillId="3" borderId="1" xfId="0" applyFont="1" applyFill="1" applyBorder="1" applyAlignment="1">
      <alignment horizontal="right" vertical="center"/>
    </xf>
    <xf numFmtId="0" fontId="65" fillId="3" borderId="1" xfId="0" applyFont="1" applyFill="1" applyBorder="1" applyAlignment="1">
      <alignment horizontal="center" vertical="center"/>
    </xf>
    <xf numFmtId="0" fontId="66" fillId="3" borderId="1" xfId="0" applyFont="1" applyFill="1" applyBorder="1" applyAlignment="1">
      <alignment vertical="center"/>
    </xf>
    <xf numFmtId="0" fontId="65" fillId="39" borderId="1" xfId="0" applyFont="1" applyFill="1" applyBorder="1" applyAlignment="1">
      <alignment horizontal="left" vertical="center"/>
    </xf>
    <xf numFmtId="0" fontId="65" fillId="39" borderId="1" xfId="0" applyFont="1" applyFill="1" applyBorder="1" applyAlignment="1">
      <alignment horizontal="right" vertical="center"/>
    </xf>
    <xf numFmtId="0" fontId="65" fillId="39" borderId="1" xfId="0" applyFont="1" applyFill="1" applyBorder="1" applyAlignment="1">
      <alignment horizontal="center" vertical="center"/>
    </xf>
    <xf numFmtId="0" fontId="66" fillId="39" borderId="1" xfId="0" applyFont="1" applyFill="1" applyBorder="1" applyAlignment="1">
      <alignment vertical="center"/>
    </xf>
    <xf numFmtId="0" fontId="66" fillId="0" borderId="1" xfId="0" applyFont="1" applyBorder="1" applyAlignment="1">
      <alignment horizontal="left" vertical="center"/>
    </xf>
    <xf numFmtId="4" fontId="66" fillId="0" borderId="1" xfId="0" applyNumberFormat="1" applyFont="1" applyBorder="1" applyAlignment="1">
      <alignment horizontal="right" vertical="center"/>
    </xf>
    <xf numFmtId="0" fontId="66" fillId="0" borderId="1" xfId="0" applyFont="1" applyBorder="1" applyAlignment="1">
      <alignment horizontal="center" vertical="center"/>
    </xf>
    <xf numFmtId="174" fontId="66" fillId="0" borderId="1" xfId="0" applyNumberFormat="1" applyFont="1" applyBorder="1" applyAlignment="1">
      <alignment horizontal="right" vertical="center"/>
    </xf>
    <xf numFmtId="175" fontId="66" fillId="0" borderId="1" xfId="0" applyNumberFormat="1" applyFont="1" applyBorder="1" applyAlignment="1">
      <alignment horizontal="right" vertical="center"/>
    </xf>
    <xf numFmtId="173" fontId="63" fillId="8" borderId="3" xfId="0" applyNumberFormat="1" applyFont="1" applyFill="1" applyBorder="1" applyAlignment="1">
      <alignment horizontal="center" vertical="center" wrapText="1"/>
    </xf>
    <xf numFmtId="0" fontId="65" fillId="0" borderId="1" xfId="0" applyFont="1" applyBorder="1" applyAlignment="1">
      <alignment horizontal="left" vertical="center"/>
    </xf>
    <xf numFmtId="0" fontId="67" fillId="0" borderId="1" xfId="0" applyFont="1" applyBorder="1" applyAlignment="1">
      <alignment horizontal="left" vertical="center"/>
    </xf>
    <xf numFmtId="0" fontId="4" fillId="0" borderId="1" xfId="0" applyFont="1" applyBorder="1"/>
    <xf numFmtId="0" fontId="68" fillId="0" borderId="1" xfId="0" applyFont="1" applyBorder="1" applyAlignment="1">
      <alignment vertical="center" wrapText="1"/>
    </xf>
    <xf numFmtId="0" fontId="67" fillId="39" borderId="1" xfId="0" applyFont="1" applyFill="1" applyBorder="1" applyAlignment="1">
      <alignment horizontal="left" vertical="center"/>
    </xf>
    <xf numFmtId="0" fontId="67" fillId="39" borderId="1" xfId="0" applyFont="1" applyFill="1" applyBorder="1" applyAlignment="1">
      <alignment horizontal="right" vertical="center"/>
    </xf>
    <xf numFmtId="0" fontId="67" fillId="39" borderId="1" xfId="0" applyFont="1" applyFill="1" applyBorder="1" applyAlignment="1">
      <alignment horizontal="center" vertical="center"/>
    </xf>
    <xf numFmtId="0" fontId="69" fillId="39" borderId="1" xfId="0" applyFont="1" applyFill="1" applyBorder="1" applyAlignment="1">
      <alignment vertical="center"/>
    </xf>
    <xf numFmtId="0" fontId="70" fillId="0" borderId="0" xfId="0" applyFont="1" applyAlignment="1">
      <alignment horizontal="left"/>
    </xf>
    <xf numFmtId="0" fontId="70" fillId="0" borderId="0" xfId="0" applyFont="1"/>
    <xf numFmtId="0" fontId="66" fillId="0" borderId="1" xfId="0" applyFont="1" applyBorder="1" applyAlignment="1">
      <alignment horizontal="left" vertical="top" wrapText="1"/>
    </xf>
    <xf numFmtId="49" fontId="4" fillId="0" borderId="1" xfId="0" applyNumberFormat="1" applyFont="1" applyBorder="1" applyAlignment="1">
      <alignment vertical="center" wrapText="1"/>
    </xf>
    <xf numFmtId="42" fontId="4" fillId="0" borderId="1" xfId="0" applyNumberFormat="1" applyFont="1" applyBorder="1"/>
    <xf numFmtId="173" fontId="63" fillId="8" borderId="1" xfId="0" applyNumberFormat="1" applyFont="1" applyFill="1" applyBorder="1" applyAlignment="1">
      <alignment horizontal="center" vertical="center" wrapText="1"/>
    </xf>
    <xf numFmtId="0" fontId="6" fillId="0" borderId="1" xfId="0" applyFont="1" applyBorder="1" applyAlignment="1">
      <alignment horizontal="centerContinuous" vertical="center" wrapText="1"/>
    </xf>
    <xf numFmtId="42" fontId="6" fillId="0" borderId="1" xfId="0" applyNumberFormat="1" applyFont="1" applyBorder="1" applyAlignment="1">
      <alignment horizontal="centerContinuous" vertical="center" wrapText="1"/>
    </xf>
    <xf numFmtId="173" fontId="6" fillId="8" borderId="1" xfId="0" applyNumberFormat="1" applyFont="1" applyFill="1" applyBorder="1" applyAlignment="1">
      <alignment horizontal="center" vertical="center" wrapText="1"/>
    </xf>
    <xf numFmtId="0" fontId="3" fillId="0" borderId="1" xfId="0" applyFont="1" applyBorder="1"/>
    <xf numFmtId="49" fontId="3" fillId="0" borderId="1" xfId="0" applyNumberFormat="1" applyFont="1" applyBorder="1" applyAlignment="1">
      <alignment vertical="center" wrapText="1"/>
    </xf>
    <xf numFmtId="49" fontId="6" fillId="0" borderId="5"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0" fontId="20" fillId="0" borderId="1" xfId="0" applyFont="1" applyBorder="1"/>
    <xf numFmtId="0" fontId="63" fillId="0" borderId="1" xfId="0" applyFont="1" applyBorder="1"/>
    <xf numFmtId="0" fontId="8" fillId="0" borderId="0" xfId="0" applyFont="1"/>
    <xf numFmtId="49" fontId="14" fillId="38" borderId="1" xfId="0" applyNumberFormat="1" applyFont="1" applyFill="1" applyBorder="1" applyAlignment="1">
      <alignment vertical="center" wrapText="1"/>
    </xf>
    <xf numFmtId="0" fontId="15" fillId="38" borderId="1" xfId="0" applyFont="1" applyFill="1" applyBorder="1" applyAlignment="1">
      <alignment vertical="center"/>
    </xf>
    <xf numFmtId="0" fontId="15" fillId="38" borderId="1" xfId="0" applyFont="1" applyFill="1" applyBorder="1" applyAlignment="1">
      <alignment vertical="center" wrapText="1"/>
    </xf>
    <xf numFmtId="0" fontId="59" fillId="38" borderId="1" xfId="0" applyFont="1" applyFill="1" applyBorder="1" applyAlignment="1">
      <alignment vertical="center" wrapText="1"/>
    </xf>
    <xf numFmtId="172" fontId="59" fillId="38" borderId="1" xfId="0" applyNumberFormat="1" applyFont="1" applyFill="1" applyBorder="1" applyAlignment="1">
      <alignment vertical="center" wrapText="1"/>
    </xf>
    <xf numFmtId="168" fontId="60" fillId="0" borderId="1" xfId="1" applyNumberFormat="1" applyFont="1" applyBorder="1" applyAlignment="1">
      <alignment horizontal="right" vertical="center" wrapText="1"/>
    </xf>
    <xf numFmtId="42" fontId="60" fillId="0" borderId="1" xfId="1" applyNumberFormat="1" applyFont="1" applyBorder="1" applyAlignment="1">
      <alignment horizontal="right" vertical="center" wrapText="1"/>
    </xf>
    <xf numFmtId="172" fontId="60" fillId="0" borderId="1" xfId="0" applyNumberFormat="1" applyFont="1" applyBorder="1" applyAlignment="1">
      <alignment horizontal="right" vertical="center" wrapText="1"/>
    </xf>
    <xf numFmtId="173" fontId="59" fillId="8" borderId="1" xfId="0" applyNumberFormat="1" applyFont="1" applyFill="1" applyBorder="1" applyAlignment="1">
      <alignment horizontal="center" vertical="center" wrapText="1"/>
    </xf>
    <xf numFmtId="44" fontId="60" fillId="0" borderId="1" xfId="1" applyFont="1" applyBorder="1" applyAlignment="1">
      <alignment horizontal="right" vertical="center" wrapText="1"/>
    </xf>
    <xf numFmtId="171" fontId="60" fillId="0" borderId="1" xfId="0" applyNumberFormat="1" applyFont="1" applyBorder="1" applyAlignment="1">
      <alignment horizontal="right" vertical="center" wrapText="1"/>
    </xf>
    <xf numFmtId="44" fontId="60" fillId="3" borderId="1" xfId="1" applyFont="1" applyFill="1" applyBorder="1" applyAlignment="1">
      <alignment horizontal="right" vertical="center" wrapText="1"/>
    </xf>
    <xf numFmtId="171" fontId="60" fillId="3" borderId="1" xfId="0" applyNumberFormat="1" applyFont="1" applyFill="1" applyBorder="1" applyAlignment="1">
      <alignment horizontal="right" vertical="center" wrapText="1"/>
    </xf>
    <xf numFmtId="168" fontId="60" fillId="3" borderId="1" xfId="1" applyNumberFormat="1" applyFont="1" applyFill="1" applyBorder="1" applyAlignment="1">
      <alignment horizontal="right" vertical="center" wrapText="1"/>
    </xf>
    <xf numFmtId="172" fontId="60" fillId="3" borderId="1" xfId="0" applyNumberFormat="1" applyFont="1" applyFill="1" applyBorder="1" applyAlignment="1">
      <alignment horizontal="right" vertical="center" wrapText="1"/>
    </xf>
    <xf numFmtId="172" fontId="20" fillId="0" borderId="1" xfId="0" applyNumberFormat="1" applyFont="1" applyBorder="1"/>
    <xf numFmtId="49" fontId="63" fillId="38" borderId="1" xfId="0" applyNumberFormat="1" applyFont="1" applyFill="1" applyBorder="1" applyAlignment="1">
      <alignment vertical="center" wrapText="1"/>
    </xf>
    <xf numFmtId="0" fontId="72" fillId="38" borderId="1" xfId="0" applyFont="1" applyFill="1" applyBorder="1" applyAlignment="1">
      <alignment vertical="center"/>
    </xf>
    <xf numFmtId="0" fontId="72" fillId="38" borderId="1" xfId="0" applyFont="1" applyFill="1" applyBorder="1" applyAlignment="1">
      <alignment vertical="center" wrapText="1"/>
    </xf>
    <xf numFmtId="0" fontId="66" fillId="0" borderId="1" xfId="0" applyFont="1" applyBorder="1" applyAlignment="1">
      <alignment horizontal="left" vertical="center" wrapText="1"/>
    </xf>
    <xf numFmtId="0" fontId="66" fillId="0" borderId="1" xfId="0" applyFont="1" applyBorder="1" applyAlignment="1">
      <alignment wrapText="1"/>
    </xf>
    <xf numFmtId="0" fontId="65" fillId="0" borderId="1" xfId="0" applyFont="1" applyBorder="1"/>
    <xf numFmtId="49" fontId="63" fillId="0" borderId="1" xfId="0" applyNumberFormat="1" applyFont="1" applyBorder="1" applyAlignment="1">
      <alignment vertical="center" wrapText="1"/>
    </xf>
    <xf numFmtId="0" fontId="65" fillId="38" borderId="1" xfId="0" applyFont="1" applyFill="1" applyBorder="1" applyAlignment="1">
      <alignment vertical="center" wrapText="1"/>
    </xf>
    <xf numFmtId="172" fontId="65" fillId="38" borderId="1" xfId="0" applyNumberFormat="1" applyFont="1" applyFill="1" applyBorder="1" applyAlignment="1">
      <alignment vertical="center" wrapText="1"/>
    </xf>
    <xf numFmtId="0" fontId="3" fillId="0" borderId="1" xfId="0" applyFont="1" applyBorder="1" applyAlignment="1">
      <alignment horizontal="center" vertical="center" wrapText="1"/>
    </xf>
    <xf numFmtId="168" fontId="66" fillId="0" borderId="1" xfId="1" applyNumberFormat="1" applyFont="1" applyBorder="1" applyAlignment="1">
      <alignment horizontal="right" vertical="center" wrapText="1"/>
    </xf>
    <xf numFmtId="165" fontId="66" fillId="0" borderId="1" xfId="0" applyNumberFormat="1" applyFont="1" applyBorder="1" applyAlignment="1">
      <alignment horizontal="right" vertical="center" wrapText="1"/>
    </xf>
    <xf numFmtId="42" fontId="66" fillId="0" borderId="1" xfId="1" applyNumberFormat="1" applyFont="1" applyBorder="1" applyAlignment="1">
      <alignment horizontal="right" vertical="center" wrapText="1"/>
    </xf>
    <xf numFmtId="172" fontId="66" fillId="0" borderId="1" xfId="0" applyNumberFormat="1" applyFont="1" applyBorder="1" applyAlignment="1">
      <alignment horizontal="right" vertical="center" wrapText="1"/>
    </xf>
    <xf numFmtId="42" fontId="66" fillId="0" borderId="1" xfId="1" applyNumberFormat="1" applyFont="1" applyFill="1" applyBorder="1" applyAlignment="1">
      <alignment horizontal="right" vertical="center" wrapText="1"/>
    </xf>
    <xf numFmtId="0" fontId="2" fillId="0" borderId="1" xfId="0" applyFont="1" applyBorder="1"/>
    <xf numFmtId="165" fontId="63" fillId="0" borderId="1" xfId="0" applyNumberFormat="1" applyFont="1" applyBorder="1" applyAlignment="1">
      <alignment horizontal="center" vertical="center" wrapText="1"/>
    </xf>
    <xf numFmtId="167" fontId="65" fillId="8" borderId="1" xfId="0" applyNumberFormat="1" applyFont="1" applyFill="1" applyBorder="1" applyAlignment="1">
      <alignment horizontal="center" vertical="center" wrapText="1"/>
    </xf>
    <xf numFmtId="173" fontId="65" fillId="8" borderId="1" xfId="0" applyNumberFormat="1" applyFont="1" applyFill="1" applyBorder="1" applyAlignment="1">
      <alignment horizontal="center" vertical="center" wrapText="1"/>
    </xf>
    <xf numFmtId="0" fontId="66" fillId="0" borderId="1" xfId="0" applyFont="1" applyBorder="1"/>
    <xf numFmtId="172" fontId="66" fillId="0" borderId="1" xfId="0" applyNumberFormat="1" applyFont="1" applyBorder="1"/>
    <xf numFmtId="0" fontId="9" fillId="0" borderId="1" xfId="0" applyFont="1" applyBorder="1" applyAlignment="1">
      <alignment vertical="center" wrapText="1"/>
    </xf>
    <xf numFmtId="42" fontId="9" fillId="0" borderId="1" xfId="0" applyNumberFormat="1" applyFont="1" applyBorder="1" applyAlignment="1">
      <alignment horizontal="right" vertical="center" wrapText="1"/>
    </xf>
    <xf numFmtId="173" fontId="9" fillId="0" borderId="1" xfId="0" applyNumberFormat="1" applyFont="1" applyBorder="1" applyAlignment="1">
      <alignment horizontal="right" vertical="center" wrapText="1"/>
    </xf>
    <xf numFmtId="0" fontId="0" fillId="0" borderId="1" xfId="0" applyBorder="1" applyAlignment="1">
      <alignment horizontal="center"/>
    </xf>
    <xf numFmtId="42" fontId="7" fillId="0" borderId="1" xfId="0" applyNumberFormat="1" applyFont="1" applyBorder="1" applyAlignment="1">
      <alignment horizontal="right" vertical="center" wrapText="1"/>
    </xf>
    <xf numFmtId="42" fontId="0" fillId="0" borderId="1" xfId="0" applyNumberFormat="1" applyBorder="1"/>
    <xf numFmtId="173" fontId="0" fillId="0" borderId="1" xfId="0" applyNumberFormat="1" applyBorder="1"/>
    <xf numFmtId="0" fontId="73" fillId="0" borderId="1" xfId="0" applyFont="1" applyBorder="1" applyAlignment="1">
      <alignment horizontal="left" vertical="center"/>
    </xf>
    <xf numFmtId="0" fontId="65" fillId="39" borderId="1" xfId="0" applyFont="1" applyFill="1" applyBorder="1" applyAlignment="1">
      <alignment horizontal="left" vertical="center" wrapText="1"/>
    </xf>
    <xf numFmtId="0" fontId="66" fillId="0" borderId="1" xfId="0" applyFont="1" applyBorder="1" applyAlignment="1">
      <alignment horizontal="right" vertical="center"/>
    </xf>
    <xf numFmtId="0" fontId="66" fillId="0" borderId="1" xfId="0" applyFont="1" applyBorder="1" applyAlignment="1">
      <alignment vertical="center"/>
    </xf>
    <xf numFmtId="167" fontId="6" fillId="8" borderId="1" xfId="0" applyNumberFormat="1" applyFont="1" applyFill="1" applyBorder="1" applyAlignment="1">
      <alignment horizontal="center" vertical="center" wrapText="1"/>
    </xf>
    <xf numFmtId="176" fontId="6" fillId="8" borderId="1" xfId="0" applyNumberFormat="1" applyFont="1" applyFill="1" applyBorder="1" applyAlignment="1">
      <alignment horizontal="lef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3" fillId="0" borderId="1" xfId="0" applyFont="1" applyBorder="1" applyAlignment="1">
      <alignment horizontal="center" vertical="center" wrapText="1"/>
    </xf>
    <xf numFmtId="42" fontId="6" fillId="0" borderId="11" xfId="0" applyNumberFormat="1" applyFont="1" applyBorder="1" applyAlignment="1">
      <alignment horizontal="center" vertical="center" wrapText="1"/>
    </xf>
    <xf numFmtId="42" fontId="6" fillId="0" borderId="7" xfId="0" applyNumberFormat="1" applyFont="1" applyBorder="1" applyAlignment="1">
      <alignment horizontal="center" vertical="center" wrapText="1"/>
    </xf>
    <xf numFmtId="0" fontId="63" fillId="0" borderId="6" xfId="0" applyFont="1" applyBorder="1" applyAlignment="1">
      <alignment horizontal="center" vertical="center" wrapText="1"/>
    </xf>
    <xf numFmtId="0" fontId="63" fillId="0" borderId="10" xfId="0" applyFont="1" applyBorder="1" applyAlignment="1">
      <alignment horizontal="center" vertical="center" wrapText="1"/>
    </xf>
    <xf numFmtId="0" fontId="63"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0" xfId="0" applyFont="1" applyAlignment="1">
      <alignment horizontal="center" vertical="center" wrapText="1"/>
    </xf>
    <xf numFmtId="0" fontId="6" fillId="0" borderId="8"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9" xfId="0" applyFont="1" applyBorder="1" applyAlignment="1">
      <alignment horizontal="center" vertical="center" wrapText="1"/>
    </xf>
    <xf numFmtId="0" fontId="71" fillId="0" borderId="6" xfId="0" applyFont="1" applyBorder="1" applyAlignment="1">
      <alignment horizontal="left" vertical="center"/>
    </xf>
    <xf numFmtId="0" fontId="71" fillId="0" borderId="10" xfId="0" applyFont="1" applyBorder="1" applyAlignment="1">
      <alignment horizontal="left" vertical="center"/>
    </xf>
    <xf numFmtId="0" fontId="71" fillId="0" borderId="2" xfId="0" applyFont="1" applyBorder="1" applyAlignment="1">
      <alignment horizontal="left" vertical="center"/>
    </xf>
    <xf numFmtId="0" fontId="6" fillId="0" borderId="1" xfId="0" applyFont="1" applyBorder="1" applyAlignment="1">
      <alignment horizontal="center" vertical="center"/>
    </xf>
    <xf numFmtId="0" fontId="63" fillId="0" borderId="1" xfId="0" applyFont="1" applyBorder="1" applyAlignment="1">
      <alignment horizontal="left" vertical="center" wrapText="1"/>
    </xf>
    <xf numFmtId="0" fontId="6" fillId="0" borderId="1" xfId="0" applyFont="1" applyBorder="1" applyAlignment="1">
      <alignment horizontal="left" vertical="center" wrapText="1"/>
    </xf>
    <xf numFmtId="164" fontId="8" fillId="0" borderId="0" xfId="0" applyNumberFormat="1" applyFont="1" applyAlignment="1">
      <alignment horizontal="center" vertical="center"/>
    </xf>
    <xf numFmtId="0" fontId="6" fillId="0" borderId="6" xfId="0" applyFont="1" applyBorder="1" applyAlignment="1">
      <alignment horizontal="center" vertical="center" wrapText="1"/>
    </xf>
    <xf numFmtId="0" fontId="9" fillId="0" borderId="6" xfId="0" applyFont="1" applyBorder="1" applyAlignment="1">
      <alignment horizontal="left" vertical="center" wrapText="1"/>
    </xf>
    <xf numFmtId="0" fontId="9" fillId="0" borderId="2" xfId="0" applyFont="1" applyBorder="1" applyAlignment="1">
      <alignment horizontal="left" vertical="center" wrapText="1"/>
    </xf>
    <xf numFmtId="0" fontId="9" fillId="0" borderId="0" xfId="0" applyFont="1" applyAlignment="1">
      <alignment horizontal="left" vertical="center"/>
    </xf>
  </cellXfs>
  <cellStyles count="143">
    <cellStyle name="20 % - Accent1 2" xfId="5" xr:uid="{00000000-0005-0000-0000-000000000000}"/>
    <cellStyle name="20 % - Accent2 2" xfId="6" xr:uid="{00000000-0005-0000-0000-000001000000}"/>
    <cellStyle name="20 % - Accent3 2" xfId="7" xr:uid="{00000000-0005-0000-0000-000002000000}"/>
    <cellStyle name="20 % - Accent4 2" xfId="8" xr:uid="{00000000-0005-0000-0000-000003000000}"/>
    <cellStyle name="20 % - Accent5 2" xfId="9" xr:uid="{00000000-0005-0000-0000-000004000000}"/>
    <cellStyle name="20 % - Accent6 2" xfId="10" xr:uid="{00000000-0005-0000-0000-000005000000}"/>
    <cellStyle name="20% - Akzent1" xfId="11" xr:uid="{00000000-0005-0000-0000-000006000000}"/>
    <cellStyle name="20% - Akzent2" xfId="12" xr:uid="{00000000-0005-0000-0000-000007000000}"/>
    <cellStyle name="20% - Akzent3" xfId="13" xr:uid="{00000000-0005-0000-0000-000008000000}"/>
    <cellStyle name="20% - Akzent4" xfId="14" xr:uid="{00000000-0005-0000-0000-000009000000}"/>
    <cellStyle name="20% - Akzent5" xfId="15" xr:uid="{00000000-0005-0000-0000-00000A000000}"/>
    <cellStyle name="20% - Akzent6" xfId="16" xr:uid="{00000000-0005-0000-0000-00000B000000}"/>
    <cellStyle name="20% - Ênfase1" xfId="17" xr:uid="{00000000-0005-0000-0000-00000C000000}"/>
    <cellStyle name="20% - Ênfase2" xfId="18" xr:uid="{00000000-0005-0000-0000-00000D000000}"/>
    <cellStyle name="20% - Ênfase3" xfId="19" xr:uid="{00000000-0005-0000-0000-00000E000000}"/>
    <cellStyle name="20% - Ênfase4" xfId="20" xr:uid="{00000000-0005-0000-0000-00000F000000}"/>
    <cellStyle name="20% - Ênfase5" xfId="21" xr:uid="{00000000-0005-0000-0000-000010000000}"/>
    <cellStyle name="20% - Ênfase6" xfId="22" xr:uid="{00000000-0005-0000-0000-000011000000}"/>
    <cellStyle name="40 % - Accent1 2" xfId="23" xr:uid="{00000000-0005-0000-0000-000012000000}"/>
    <cellStyle name="40 % - Accent2 2" xfId="24" xr:uid="{00000000-0005-0000-0000-000013000000}"/>
    <cellStyle name="40 % - Accent3 2" xfId="25" xr:uid="{00000000-0005-0000-0000-000014000000}"/>
    <cellStyle name="40 % - Accent4 2" xfId="26" xr:uid="{00000000-0005-0000-0000-000015000000}"/>
    <cellStyle name="40 % - Accent5 2" xfId="27" xr:uid="{00000000-0005-0000-0000-000016000000}"/>
    <cellStyle name="40 % - Accent6 2" xfId="28" xr:uid="{00000000-0005-0000-0000-000017000000}"/>
    <cellStyle name="40% - Akzent1" xfId="29" xr:uid="{00000000-0005-0000-0000-000018000000}"/>
    <cellStyle name="40% - Akzent2" xfId="30" xr:uid="{00000000-0005-0000-0000-000019000000}"/>
    <cellStyle name="40% - Akzent3" xfId="31" xr:uid="{00000000-0005-0000-0000-00001A000000}"/>
    <cellStyle name="40% - Akzent4" xfId="32" xr:uid="{00000000-0005-0000-0000-00001B000000}"/>
    <cellStyle name="40% - Akzent5" xfId="33" xr:uid="{00000000-0005-0000-0000-00001C000000}"/>
    <cellStyle name="40% - Akzent6" xfId="34" xr:uid="{00000000-0005-0000-0000-00001D000000}"/>
    <cellStyle name="40% - Ênfase1" xfId="35" xr:uid="{00000000-0005-0000-0000-00001E000000}"/>
    <cellStyle name="40% - Ênfase2" xfId="36" xr:uid="{00000000-0005-0000-0000-00001F000000}"/>
    <cellStyle name="40% - Ênfase3" xfId="37" xr:uid="{00000000-0005-0000-0000-000020000000}"/>
    <cellStyle name="40% - Ênfase4" xfId="38" xr:uid="{00000000-0005-0000-0000-000021000000}"/>
    <cellStyle name="40% - Ênfase5" xfId="39" xr:uid="{00000000-0005-0000-0000-000022000000}"/>
    <cellStyle name="40% - Ênfase6" xfId="40" xr:uid="{00000000-0005-0000-0000-000023000000}"/>
    <cellStyle name="60 % - Accent1 2" xfId="41" xr:uid="{00000000-0005-0000-0000-000024000000}"/>
    <cellStyle name="60 % - Accent2 2" xfId="42" xr:uid="{00000000-0005-0000-0000-000025000000}"/>
    <cellStyle name="60 % - Accent3 2" xfId="43" xr:uid="{00000000-0005-0000-0000-000026000000}"/>
    <cellStyle name="60 % - Accent4 2" xfId="44" xr:uid="{00000000-0005-0000-0000-000027000000}"/>
    <cellStyle name="60 % - Accent5 2" xfId="45" xr:uid="{00000000-0005-0000-0000-000028000000}"/>
    <cellStyle name="60 % - Accent6 2" xfId="46" xr:uid="{00000000-0005-0000-0000-000029000000}"/>
    <cellStyle name="60% - Akzent1" xfId="47" xr:uid="{00000000-0005-0000-0000-00002A000000}"/>
    <cellStyle name="60% - Akzent2" xfId="48" xr:uid="{00000000-0005-0000-0000-00002B000000}"/>
    <cellStyle name="60% - Akzent3" xfId="49" xr:uid="{00000000-0005-0000-0000-00002C000000}"/>
    <cellStyle name="60% - Akzent4" xfId="50" xr:uid="{00000000-0005-0000-0000-00002D000000}"/>
    <cellStyle name="60% - Akzent5" xfId="51" xr:uid="{00000000-0005-0000-0000-00002E000000}"/>
    <cellStyle name="60% - Akzent6" xfId="52" xr:uid="{00000000-0005-0000-0000-00002F000000}"/>
    <cellStyle name="60% - Ênfase1" xfId="53" xr:uid="{00000000-0005-0000-0000-000030000000}"/>
    <cellStyle name="60% - Ênfase2" xfId="54" xr:uid="{00000000-0005-0000-0000-000031000000}"/>
    <cellStyle name="60% - Ênfase3" xfId="55" xr:uid="{00000000-0005-0000-0000-000032000000}"/>
    <cellStyle name="60% - Ênfase4" xfId="56" xr:uid="{00000000-0005-0000-0000-000033000000}"/>
    <cellStyle name="60% - Ênfase5" xfId="57" xr:uid="{00000000-0005-0000-0000-000034000000}"/>
    <cellStyle name="60% - Ênfase6" xfId="58" xr:uid="{00000000-0005-0000-0000-000035000000}"/>
    <cellStyle name="Accent1 2" xfId="59" xr:uid="{00000000-0005-0000-0000-000036000000}"/>
    <cellStyle name="Accent2 2" xfId="60" xr:uid="{00000000-0005-0000-0000-000037000000}"/>
    <cellStyle name="Accent3 2" xfId="61" xr:uid="{00000000-0005-0000-0000-000038000000}"/>
    <cellStyle name="Accent4 2" xfId="62" xr:uid="{00000000-0005-0000-0000-000039000000}"/>
    <cellStyle name="Accent5 2" xfId="63" xr:uid="{00000000-0005-0000-0000-00003A000000}"/>
    <cellStyle name="Accent6 2" xfId="64" xr:uid="{00000000-0005-0000-0000-00003B000000}"/>
    <cellStyle name="Akzent1" xfId="65" xr:uid="{00000000-0005-0000-0000-00003C000000}"/>
    <cellStyle name="Akzent2" xfId="66" xr:uid="{00000000-0005-0000-0000-00003D000000}"/>
    <cellStyle name="Akzent3" xfId="67" xr:uid="{00000000-0005-0000-0000-00003E000000}"/>
    <cellStyle name="Akzent4" xfId="68" xr:uid="{00000000-0005-0000-0000-00003F000000}"/>
    <cellStyle name="Akzent5" xfId="69" xr:uid="{00000000-0005-0000-0000-000040000000}"/>
    <cellStyle name="Akzent6" xfId="70" xr:uid="{00000000-0005-0000-0000-000041000000}"/>
    <cellStyle name="Ausgabe" xfId="71" xr:uid="{00000000-0005-0000-0000-000042000000}"/>
    <cellStyle name="Avertissement 2" xfId="137" xr:uid="{00000000-0005-0000-0000-000043000000}"/>
    <cellStyle name="Berechnung" xfId="73" xr:uid="{00000000-0005-0000-0000-000044000000}"/>
    <cellStyle name="Bom" xfId="74" xr:uid="{00000000-0005-0000-0000-000045000000}"/>
    <cellStyle name="Calcul 2" xfId="75" xr:uid="{00000000-0005-0000-0000-000046000000}"/>
    <cellStyle name="Cálculo" xfId="76" xr:uid="{00000000-0005-0000-0000-000047000000}"/>
    <cellStyle name="Cellule liée 2" xfId="102" xr:uid="{00000000-0005-0000-0000-000048000000}"/>
    <cellStyle name="Célula de Verificação" xfId="77" xr:uid="{00000000-0005-0000-0000-000049000000}"/>
    <cellStyle name="Célula Vinculada" xfId="78" xr:uid="{00000000-0005-0000-0000-00004A000000}"/>
    <cellStyle name="Commentaire 2" xfId="109" xr:uid="{00000000-0005-0000-0000-00004B000000}"/>
    <cellStyle name="Eingabe" xfId="81" xr:uid="{00000000-0005-0000-0000-00004C000000}"/>
    <cellStyle name="Ênfase1" xfId="82" xr:uid="{00000000-0005-0000-0000-00004D000000}"/>
    <cellStyle name="Ênfase2" xfId="83" xr:uid="{00000000-0005-0000-0000-00004E000000}"/>
    <cellStyle name="Ênfase3" xfId="84" xr:uid="{00000000-0005-0000-0000-00004F000000}"/>
    <cellStyle name="Ênfase4" xfId="85" xr:uid="{00000000-0005-0000-0000-000050000000}"/>
    <cellStyle name="Ênfase5" xfId="86" xr:uid="{00000000-0005-0000-0000-000051000000}"/>
    <cellStyle name="Ênfase6" xfId="87" xr:uid="{00000000-0005-0000-0000-000052000000}"/>
    <cellStyle name="Entrada" xfId="88" xr:uid="{00000000-0005-0000-0000-000053000000}"/>
    <cellStyle name="Entrée 2" xfId="101" xr:uid="{00000000-0005-0000-0000-000054000000}"/>
    <cellStyle name="Ergebnis" xfId="89" xr:uid="{00000000-0005-0000-0000-000055000000}"/>
    <cellStyle name="Erklärender Text" xfId="90" xr:uid="{00000000-0005-0000-0000-000056000000}"/>
    <cellStyle name="Estilo 1" xfId="91" xr:uid="{00000000-0005-0000-0000-000057000000}"/>
    <cellStyle name="Euro" xfId="92" xr:uid="{00000000-0005-0000-0000-000058000000}"/>
    <cellStyle name="Gut" xfId="95" xr:uid="{00000000-0005-0000-0000-000059000000}"/>
    <cellStyle name="Incorreto" xfId="100" xr:uid="{00000000-0005-0000-0000-00005A000000}"/>
    <cellStyle name="Insatisfaisant 2" xfId="72" xr:uid="{00000000-0005-0000-0000-00005B000000}"/>
    <cellStyle name="Milliers 2" xfId="80" xr:uid="{00000000-0005-0000-0000-00005D000000}"/>
    <cellStyle name="Monétaire" xfId="1" builtinId="4"/>
    <cellStyle name="Monétaire 2" xfId="142" xr:uid="{00000000-0005-0000-0000-00005F000000}"/>
    <cellStyle name="Neutra" xfId="103" xr:uid="{00000000-0005-0000-0000-000060000000}"/>
    <cellStyle name="Neutre 2" xfId="104" xr:uid="{00000000-0005-0000-0000-000061000000}"/>
    <cellStyle name="Normal" xfId="0" builtinId="0"/>
    <cellStyle name="Normal 2" xfId="105" xr:uid="{00000000-0005-0000-0000-000063000000}"/>
    <cellStyle name="Normal 3" xfId="106" xr:uid="{00000000-0005-0000-0000-000064000000}"/>
    <cellStyle name="Normal 4" xfId="107" xr:uid="{00000000-0005-0000-0000-000065000000}"/>
    <cellStyle name="Normal 5" xfId="4" xr:uid="{00000000-0005-0000-0000-000066000000}"/>
    <cellStyle name="Normal 6" xfId="2" xr:uid="{00000000-0005-0000-0000-000067000000}"/>
    <cellStyle name="Normal 7" xfId="141" xr:uid="{00000000-0005-0000-0000-000068000000}"/>
    <cellStyle name="Nota" xfId="108" xr:uid="{00000000-0005-0000-0000-000069000000}"/>
    <cellStyle name="Notiz" xfId="110" xr:uid="{00000000-0005-0000-0000-00006A000000}"/>
    <cellStyle name="Porcentagem 2" xfId="112" xr:uid="{00000000-0005-0000-0000-00006B000000}"/>
    <cellStyle name="Porcentagem 3" xfId="113" xr:uid="{00000000-0005-0000-0000-00006C000000}"/>
    <cellStyle name="Pourcentage 2" xfId="140" xr:uid="{00000000-0005-0000-0000-00006D000000}"/>
    <cellStyle name="Pourcentage 3" xfId="3" xr:uid="{00000000-0005-0000-0000-00006E000000}"/>
    <cellStyle name="Saída" xfId="114" xr:uid="{00000000-0005-0000-0000-00006F000000}"/>
    <cellStyle name="Satisfaisant 2" xfId="94" xr:uid="{00000000-0005-0000-0000-000070000000}"/>
    <cellStyle name="Schlecht" xfId="115" xr:uid="{00000000-0005-0000-0000-000071000000}"/>
    <cellStyle name="Sortie 2" xfId="111" xr:uid="{00000000-0005-0000-0000-000072000000}"/>
    <cellStyle name="Standard 2" xfId="139" xr:uid="{00000000-0005-0000-0000-000073000000}"/>
    <cellStyle name="Standard 8" xfId="116" xr:uid="{00000000-0005-0000-0000-000074000000}"/>
    <cellStyle name="Standard_Cost_Estimate_Ulu Jelai_Clarfication" xfId="117" xr:uid="{00000000-0005-0000-0000-000075000000}"/>
    <cellStyle name="Texte explicatif 2" xfId="93" xr:uid="{00000000-0005-0000-0000-000076000000}"/>
    <cellStyle name="Texto de Aviso" xfId="118" xr:uid="{00000000-0005-0000-0000-000077000000}"/>
    <cellStyle name="Texto Explicativo" xfId="119" xr:uid="{00000000-0005-0000-0000-000078000000}"/>
    <cellStyle name="Titre 2" xfId="120" xr:uid="{00000000-0005-0000-0000-000079000000}"/>
    <cellStyle name="Titre 1 2" xfId="96" xr:uid="{00000000-0005-0000-0000-00007A000000}"/>
    <cellStyle name="Titre 2 2" xfId="97" xr:uid="{00000000-0005-0000-0000-00007B000000}"/>
    <cellStyle name="Titre 3 2" xfId="98" xr:uid="{00000000-0005-0000-0000-00007C000000}"/>
    <cellStyle name="Titre 4 2" xfId="99" xr:uid="{00000000-0005-0000-0000-00007D000000}"/>
    <cellStyle name="Título" xfId="121" xr:uid="{00000000-0005-0000-0000-00007E000000}"/>
    <cellStyle name="Título 1" xfId="122" xr:uid="{00000000-0005-0000-0000-00007F000000}"/>
    <cellStyle name="Título 2" xfId="123" xr:uid="{00000000-0005-0000-0000-000080000000}"/>
    <cellStyle name="Título 3" xfId="124" xr:uid="{00000000-0005-0000-0000-000081000000}"/>
    <cellStyle name="Título 4" xfId="125" xr:uid="{00000000-0005-0000-0000-000082000000}"/>
    <cellStyle name="Total 2" xfId="127" xr:uid="{00000000-0005-0000-0000-000083000000}"/>
    <cellStyle name="Total 3" xfId="128" xr:uid="{00000000-0005-0000-0000-000084000000}"/>
    <cellStyle name="Total 4" xfId="126" xr:uid="{00000000-0005-0000-0000-000085000000}"/>
    <cellStyle name="Überschrift" xfId="129" xr:uid="{00000000-0005-0000-0000-000086000000}"/>
    <cellStyle name="Überschrift 1" xfId="130" xr:uid="{00000000-0005-0000-0000-000087000000}"/>
    <cellStyle name="Überschrift 2" xfId="131" xr:uid="{00000000-0005-0000-0000-000088000000}"/>
    <cellStyle name="Überschrift 3" xfId="132" xr:uid="{00000000-0005-0000-0000-000089000000}"/>
    <cellStyle name="Überschrift 4" xfId="133" xr:uid="{00000000-0005-0000-0000-00008A000000}"/>
    <cellStyle name="Überschrift_Angebot steeltrade KAREBBE" xfId="134" xr:uid="{00000000-0005-0000-0000-00008B000000}"/>
    <cellStyle name="Vérification 2" xfId="79" xr:uid="{00000000-0005-0000-0000-00008C000000}"/>
    <cellStyle name="Verknüpfte Zelle" xfId="135" xr:uid="{00000000-0005-0000-0000-00008D000000}"/>
    <cellStyle name="Warnender Text" xfId="136" xr:uid="{00000000-0005-0000-0000-00008E000000}"/>
    <cellStyle name="Zelle überprüfen" xfId="138" xr:uid="{00000000-0005-0000-0000-00008F000000}"/>
  </cellStyles>
  <dxfs count="0"/>
  <tableStyles count="0" defaultTableStyle="TableStyleMedium2" defaultPivotStyle="PivotStyleLight16"/>
  <colors>
    <mruColors>
      <color rgb="FF00FF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úlio Arsénio" id="{EEBF5E37-A267-4956-A17C-57E33CC78896}" userId="S::j.arsenio@cobagroup.com::f189c2f5-09ac-4f2b-aef1-12ceb8077c0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4" dT="2026-02-10T17:24:27.64" personId="{EEBF5E37-A267-4956-A17C-57E33CC78896}" id="{C0C07A0B-8D13-4995-ABFF-E08162C1A67C}">
    <text>Rédaction révisée</text>
  </threadedComment>
  <threadedComment ref="B26" dT="2026-02-10T17:24:39.34" personId="{EEBF5E37-A267-4956-A17C-57E33CC78896}" id="{1491BDDE-A6E2-41BB-AA4A-4AAAA37E8154}">
    <text>Rédaction révisée</text>
  </threadedComment>
  <threadedComment ref="B40" dT="2026-02-10T15:54:44.43" personId="{EEBF5E37-A267-4956-A17C-57E33CC78896}" id="{E7BE6232-CB3A-4984-BB9F-751F65B75658}">
    <text>Nous recommandons de garder ce matériel dans ici dans l’item de l’équipement de protection incendie (il nous semble plus claire).</text>
  </threadedComment>
  <threadedComment ref="B66" dT="2026-02-10T17:20:20.40" personId="{EEBF5E37-A267-4956-A17C-57E33CC78896}" id="{6964BE4B-FD01-4B59-ABB4-4A7E641DCC80}">
    <text>Pour plus de clarté, nous suggérons d’ajouter un item relatif aux composants principaux du poste, qui étaient supposés être inclus dans l’item principal en-dessus.</text>
  </threadedComment>
  <threadedComment ref="B75" dT="2026-02-10T17:22:39.58" personId="{EEBF5E37-A267-4956-A17C-57E33CC78896}" id="{10F29FC8-BF31-4EC4-B2AE-9BE640A71A2B}">
    <text>Nous recommandons de garder ce item ici (ce sont des programmations à réaliser par les forunisseurs, au moins partiellement en usine).</text>
  </threadedComment>
  <threadedComment ref="B78" dT="2026-02-10T17:23:07.69" personId="{EEBF5E37-A267-4956-A17C-57E33CC78896}" id="{B282D858-A76A-4DA4-A957-F12FD6D4E2FB}">
    <text>A garder ici.</text>
  </threadedComment>
  <threadedComment ref="B83" dT="2026-02-10T17:25:53.80" personId="{EEBF5E37-A267-4956-A17C-57E33CC78896}" id="{6EF57013-3357-40CB-A16D-C6AC313D8594}">
    <text>Bold</text>
  </threadedComment>
  <threadedComment ref="J85" dT="2026-02-10T16:19:28.99" personId="{EEBF5E37-A267-4956-A17C-57E33CC78896}" id="{35C0DE62-5DDD-4993-AC04-2F6DB95E2953}">
    <text>D'accord</text>
  </threadedComment>
  <threadedComment ref="J91" dT="2026-02-10T16:19:15.55" personId="{EEBF5E37-A267-4956-A17C-57E33CC78896}" id="{7B65C228-5614-4628-B117-AA84B5E2A48E}">
    <text>D'accord, pour les formations.
Concernant les essais, nous également d’accord. Cependant, il est á signaler que nous comprenons que les essais en usine sont inclus dans le BdP B1 et B2 (fourniture des différents équipements) et que les essais après montage sont compris dans le BpP B4 (installation et mise en service).
Est-il nécessaire d’ajouter un poste spécifique concernant les essais de mise en service de l’ensemble de l’installation (au niveau du BdP B4) ?</text>
  </threadedComment>
  <threadedComment ref="B106" dT="2026-02-10T17:17:34.13" personId="{EEBF5E37-A267-4956-A17C-57E33CC78896}" id="{4C3EE27B-C058-42A7-91FA-BB0D55F9D822}">
    <text>Cet item était manquant</text>
  </threadedComment>
  <threadedComment ref="B110" dT="2026-02-10T17:17:55.77" personId="{EEBF5E37-A267-4956-A17C-57E33CC78896}" id="{C97F8339-CC2C-4BE8-8757-2B2120C5A62C}">
    <text>Rédaction adaptée</text>
  </threadedComment>
  <threadedComment ref="J110" dT="2026-02-10T16:44:13.88" personId="{EEBF5E37-A267-4956-A17C-57E33CC78896}" id="{ACA407F4-8BA2-4855-AE5B-8C619A91A221}">
    <text>Oui</text>
  </threadedComment>
</ThreadedComments>
</file>

<file path=xl/threadedComments/threadedComment2.xml><?xml version="1.0" encoding="utf-8"?>
<ThreadedComments xmlns="http://schemas.microsoft.com/office/spreadsheetml/2018/threadedcomments" xmlns:x="http://schemas.openxmlformats.org/spreadsheetml/2006/main">
  <threadedComment ref="B24" dT="2026-02-10T17:24:27.64" personId="{EEBF5E37-A267-4956-A17C-57E33CC78896}" id="{EE0E0493-1C61-4B46-ACFA-BB92854E965B}">
    <text>Rédaction révisée</text>
  </threadedComment>
  <threadedComment ref="B26" dT="2026-02-10T17:24:39.34" personId="{EEBF5E37-A267-4956-A17C-57E33CC78896}" id="{5B993BA5-9640-4136-B6A9-A0D7A9354881}">
    <text>Rédaction révisée</text>
  </threadedComment>
  <threadedComment ref="B40" dT="2026-02-10T15:54:44.43" personId="{EEBF5E37-A267-4956-A17C-57E33CC78896}" id="{FBF3B56E-941E-40E6-A80F-BF41765C52AB}">
    <text>Nous recommandons de garder ce matériel dans ici dans l’item de l’équipement de protection incendie (il nous semble plus claire).</text>
  </threadedComment>
  <threadedComment ref="B66" dT="2026-02-10T17:20:20.40" personId="{EEBF5E37-A267-4956-A17C-57E33CC78896}" id="{137583CA-FDE5-4F09-85D5-17AF0DC589B5}">
    <text>Pour plus de clarté, nous suggérons d’ajouter un item relatif aux composants principaux du poste, qui étaient supposés être inclus dans l’item principal en-dessus.</text>
  </threadedComment>
  <threadedComment ref="B75" dT="2026-02-10T17:22:39.58" personId="{EEBF5E37-A267-4956-A17C-57E33CC78896}" id="{90BA2A39-D348-491F-8356-5C1109F0133A}">
    <text>Nous recommandons de garder ce item ici (ce sont des programmations à réaliser par les forunisseurs, au moins partiellement en usine).</text>
  </threadedComment>
  <threadedComment ref="B78" dT="2026-02-10T17:23:07.69" personId="{EEBF5E37-A267-4956-A17C-57E33CC78896}" id="{A665CE1B-FD60-4AF1-B61E-0C8E3BAB6B49}">
    <text>A garder ici.</text>
  </threadedComment>
  <threadedComment ref="B83" dT="2026-02-10T17:25:53.80" personId="{EEBF5E37-A267-4956-A17C-57E33CC78896}" id="{4531414E-D635-42D9-9C04-60CEE09FB14C}">
    <text>Bold</text>
  </threadedComment>
  <threadedComment ref="B106" dT="2026-02-10T17:17:34.13" personId="{EEBF5E37-A267-4956-A17C-57E33CC78896}" id="{5C8B7EEE-822C-45BB-9C9E-855687F5AAA5}">
    <text>Cet item était manquant</text>
  </threadedComment>
  <threadedComment ref="B110" dT="2026-02-10T17:17:55.77" personId="{EEBF5E37-A267-4956-A17C-57E33CC78896}" id="{FC771546-9275-4996-87EF-A639AA60425D}">
    <text>Rédaction adaptée</text>
  </threadedComment>
</ThreadedComments>
</file>

<file path=xl/threadedComments/threadedComment3.xml><?xml version="1.0" encoding="utf-8"?>
<ThreadedComments xmlns="http://schemas.microsoft.com/office/spreadsheetml/2018/threadedcomments" xmlns:x="http://schemas.openxmlformats.org/spreadsheetml/2006/main">
  <threadedComment ref="B160" dT="2026-02-10T17:24:27.64" personId="{EEBF5E37-A267-4956-A17C-57E33CC78896}" id="{98D77E2B-562C-495B-A8F3-906D2BC4419D}">
    <text>Rédaction révisée</text>
  </threadedComment>
  <threadedComment ref="B162" dT="2026-02-10T17:24:39.34" personId="{EEBF5E37-A267-4956-A17C-57E33CC78896}" id="{BB1C978A-1692-4F60-A7F1-BD3E9B5571B0}">
    <text>Rédaction révisée</text>
  </threadedComment>
  <threadedComment ref="B201" dT="2026-02-10T17:32:08.00" personId="{EEBF5E37-A267-4956-A17C-57E33CC78896}" id="{4E20E523-7FDB-4E1B-B0B4-984982803F73}">
    <text>Cet item était manquant</text>
  </threadedComment>
  <threadedComment ref="B210" dT="2026-02-10T17:17:34.13" personId="{EEBF5E37-A267-4956-A17C-57E33CC78896}" id="{EFE0908B-EDF9-4C7B-BF55-9D296231E86E}">
    <text>Cet item était manquant</text>
  </threadedComment>
  <threadedComment ref="B214" dT="2026-02-10T17:17:55.77" personId="{EEBF5E37-A267-4956-A17C-57E33CC78896}" id="{97F45A70-6004-4255-8BDA-2EAABCBFE12F}">
    <text>Rédaction adaptée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9"/>
  <sheetViews>
    <sheetView showWhiteSpace="0" topLeftCell="A94" zoomScale="130" zoomScaleNormal="130" zoomScaleSheetLayoutView="90" zoomScalePageLayoutView="130" workbookViewId="0">
      <selection activeCell="B99" sqref="B99:B100"/>
    </sheetView>
  </sheetViews>
  <sheetFormatPr baseColWidth="10" defaultColWidth="11.54296875" defaultRowHeight="12.5"/>
  <cols>
    <col min="2" max="2" width="83.453125" customWidth="1"/>
    <col min="3" max="4" width="10" customWidth="1"/>
    <col min="5" max="5" width="9.54296875" customWidth="1"/>
    <col min="6" max="6" width="12.26953125" style="59" bestFit="1" customWidth="1"/>
    <col min="7" max="7" width="21.54296875" style="59" customWidth="1"/>
    <col min="8" max="8" width="14.81640625" style="59" customWidth="1"/>
    <col min="9" max="9" width="21.54296875" style="59" customWidth="1"/>
    <col min="10" max="10" width="29.1796875" style="91" customWidth="1"/>
  </cols>
  <sheetData>
    <row r="1" spans="1:9" ht="9" customHeight="1"/>
    <row r="2" spans="1:9" ht="14.5">
      <c r="A2" s="3" t="s">
        <v>7</v>
      </c>
    </row>
    <row r="4" spans="1:9" ht="30.65" customHeight="1">
      <c r="A4" s="181" t="s">
        <v>0</v>
      </c>
      <c r="B4" s="181" t="s">
        <v>15</v>
      </c>
      <c r="C4" s="181" t="s">
        <v>26</v>
      </c>
      <c r="D4" s="181" t="s">
        <v>47</v>
      </c>
      <c r="E4" s="181" t="s">
        <v>327</v>
      </c>
      <c r="F4" s="185" t="s">
        <v>438</v>
      </c>
      <c r="G4" s="186"/>
      <c r="H4" s="185" t="s">
        <v>441</v>
      </c>
      <c r="I4" s="186"/>
    </row>
    <row r="5" spans="1:9" ht="15" customHeight="1">
      <c r="A5" s="182"/>
      <c r="B5" s="182"/>
      <c r="C5" s="182"/>
      <c r="D5" s="182"/>
      <c r="E5" s="182"/>
      <c r="F5" s="61" t="s">
        <v>439</v>
      </c>
      <c r="G5" s="61" t="s">
        <v>440</v>
      </c>
      <c r="H5" s="61" t="s">
        <v>439</v>
      </c>
      <c r="I5" s="61" t="s">
        <v>440</v>
      </c>
    </row>
    <row r="6" spans="1:9" ht="15" customHeight="1">
      <c r="A6" s="183"/>
      <c r="B6" s="183"/>
      <c r="C6" s="183"/>
      <c r="D6" s="183"/>
      <c r="E6" s="183"/>
      <c r="F6" s="126" t="s">
        <v>17</v>
      </c>
      <c r="G6" s="126" t="s">
        <v>62</v>
      </c>
      <c r="H6" s="126" t="s">
        <v>442</v>
      </c>
      <c r="I6" s="126" t="s">
        <v>443</v>
      </c>
    </row>
    <row r="7" spans="1:9" ht="25" customHeight="1">
      <c r="A7" s="93" t="s">
        <v>129</v>
      </c>
      <c r="B7" s="93" t="s">
        <v>130</v>
      </c>
      <c r="C7" s="94"/>
      <c r="D7" s="95"/>
      <c r="E7" s="96"/>
      <c r="F7" s="96"/>
      <c r="G7" s="96"/>
      <c r="H7" s="96"/>
      <c r="I7" s="96"/>
    </row>
    <row r="8" spans="1:9" ht="17.149999999999999" customHeight="1">
      <c r="A8" s="97" t="s">
        <v>131</v>
      </c>
      <c r="B8" s="97" t="s">
        <v>132</v>
      </c>
      <c r="C8" s="98"/>
      <c r="D8" s="99"/>
      <c r="E8" s="100"/>
      <c r="F8" s="100"/>
      <c r="G8" s="100"/>
      <c r="H8" s="100"/>
      <c r="I8" s="100"/>
    </row>
    <row r="9" spans="1:9" ht="17.149999999999999" customHeight="1">
      <c r="A9" s="101" t="s">
        <v>133</v>
      </c>
      <c r="B9" s="101" t="s">
        <v>134</v>
      </c>
      <c r="C9" s="102"/>
      <c r="D9" s="103" t="s">
        <v>135</v>
      </c>
      <c r="E9" s="104"/>
      <c r="F9" s="105"/>
      <c r="G9" s="104"/>
      <c r="H9" s="105"/>
      <c r="I9" s="104"/>
    </row>
    <row r="10" spans="1:9" ht="17.149999999999999" customHeight="1">
      <c r="A10" s="101" t="s">
        <v>136</v>
      </c>
      <c r="B10" s="101" t="s">
        <v>137</v>
      </c>
      <c r="C10" s="102"/>
      <c r="D10" s="103" t="s">
        <v>135</v>
      </c>
      <c r="E10" s="104"/>
      <c r="F10" s="105"/>
      <c r="G10" s="104"/>
      <c r="H10" s="105"/>
      <c r="I10" s="104"/>
    </row>
    <row r="11" spans="1:9" ht="17.149999999999999" customHeight="1">
      <c r="A11" s="101" t="s">
        <v>138</v>
      </c>
      <c r="B11" s="101" t="s">
        <v>139</v>
      </c>
      <c r="C11" s="102"/>
      <c r="D11" s="103" t="s">
        <v>135</v>
      </c>
      <c r="E11" s="104"/>
      <c r="F11" s="105"/>
      <c r="G11" s="104"/>
      <c r="H11" s="105"/>
      <c r="I11" s="104"/>
    </row>
    <row r="12" spans="1:9" ht="17.149999999999999" customHeight="1">
      <c r="A12" s="101" t="s">
        <v>140</v>
      </c>
      <c r="B12" s="101" t="s">
        <v>141</v>
      </c>
      <c r="C12" s="102"/>
      <c r="D12" s="103" t="s">
        <v>135</v>
      </c>
      <c r="E12" s="104"/>
      <c r="F12" s="105"/>
      <c r="G12" s="104"/>
      <c r="H12" s="105"/>
      <c r="I12" s="104"/>
    </row>
    <row r="13" spans="1:9" ht="17.149999999999999" customHeight="1">
      <c r="A13" s="101" t="s">
        <v>142</v>
      </c>
      <c r="B13" s="101" t="s">
        <v>143</v>
      </c>
      <c r="C13" s="102"/>
      <c r="D13" s="103" t="s">
        <v>135</v>
      </c>
      <c r="E13" s="104"/>
      <c r="F13" s="105"/>
      <c r="G13" s="104"/>
      <c r="H13" s="105"/>
      <c r="I13" s="104"/>
    </row>
    <row r="14" spans="1:9" ht="17.149999999999999" customHeight="1">
      <c r="A14" s="97" t="s">
        <v>144</v>
      </c>
      <c r="B14" s="97" t="s">
        <v>145</v>
      </c>
      <c r="C14" s="98"/>
      <c r="D14" s="99"/>
      <c r="E14" s="100"/>
      <c r="F14" s="100"/>
      <c r="G14" s="100"/>
      <c r="H14" s="100"/>
      <c r="I14" s="100"/>
    </row>
    <row r="15" spans="1:9" ht="26.25" customHeight="1">
      <c r="A15" s="101" t="s">
        <v>146</v>
      </c>
      <c r="B15" s="101" t="s">
        <v>147</v>
      </c>
      <c r="C15" s="102"/>
      <c r="D15" s="103" t="s">
        <v>135</v>
      </c>
      <c r="E15" s="104"/>
      <c r="F15" s="105"/>
      <c r="G15" s="104"/>
      <c r="H15" s="105"/>
      <c r="I15" s="104"/>
    </row>
    <row r="16" spans="1:9" ht="25.5" customHeight="1">
      <c r="A16" s="101" t="s">
        <v>148</v>
      </c>
      <c r="B16" s="101" t="s">
        <v>149</v>
      </c>
      <c r="C16" s="102"/>
      <c r="D16" s="103" t="s">
        <v>135</v>
      </c>
      <c r="E16" s="104"/>
      <c r="F16" s="105"/>
      <c r="G16" s="104"/>
      <c r="H16" s="105"/>
      <c r="I16" s="104"/>
    </row>
    <row r="17" spans="1:9" ht="17.149999999999999" customHeight="1">
      <c r="A17" s="101" t="s">
        <v>150</v>
      </c>
      <c r="B17" s="101" t="s">
        <v>151</v>
      </c>
      <c r="C17" s="102"/>
      <c r="D17" s="103" t="s">
        <v>135</v>
      </c>
      <c r="E17" s="104"/>
      <c r="F17" s="105"/>
      <c r="G17" s="104"/>
      <c r="H17" s="105"/>
      <c r="I17" s="104"/>
    </row>
    <row r="18" spans="1:9" ht="17.149999999999999" customHeight="1">
      <c r="A18" s="101" t="s">
        <v>152</v>
      </c>
      <c r="B18" s="101" t="s">
        <v>153</v>
      </c>
      <c r="C18" s="102"/>
      <c r="D18" s="103" t="s">
        <v>135</v>
      </c>
      <c r="E18" s="104"/>
      <c r="F18" s="105"/>
      <c r="G18" s="104"/>
      <c r="H18" s="105"/>
      <c r="I18" s="104"/>
    </row>
    <row r="19" spans="1:9" ht="17.149999999999999" customHeight="1">
      <c r="A19" s="101" t="s">
        <v>154</v>
      </c>
      <c r="B19" s="101" t="s">
        <v>155</v>
      </c>
      <c r="C19" s="102"/>
      <c r="D19" s="103" t="s">
        <v>135</v>
      </c>
      <c r="E19" s="104"/>
      <c r="F19" s="105"/>
      <c r="G19" s="104"/>
      <c r="H19" s="105"/>
      <c r="I19" s="104"/>
    </row>
    <row r="20" spans="1:9" ht="17.149999999999999" customHeight="1">
      <c r="A20" s="101" t="s">
        <v>156</v>
      </c>
      <c r="B20" s="101" t="s">
        <v>157</v>
      </c>
      <c r="C20" s="102"/>
      <c r="D20" s="103" t="s">
        <v>135</v>
      </c>
      <c r="E20" s="104"/>
      <c r="F20" s="105"/>
      <c r="G20" s="104"/>
      <c r="H20" s="105"/>
      <c r="I20" s="104"/>
    </row>
    <row r="21" spans="1:9" ht="17.149999999999999" customHeight="1">
      <c r="A21" s="101" t="s">
        <v>158</v>
      </c>
      <c r="B21" s="101" t="s">
        <v>328</v>
      </c>
      <c r="C21" s="102"/>
      <c r="D21" s="103" t="s">
        <v>135</v>
      </c>
      <c r="E21" s="104"/>
      <c r="F21" s="105"/>
      <c r="G21" s="104"/>
      <c r="H21" s="105"/>
      <c r="I21" s="104"/>
    </row>
    <row r="22" spans="1:9" ht="17.149999999999999" customHeight="1">
      <c r="A22" s="97" t="s">
        <v>159</v>
      </c>
      <c r="B22" s="97" t="s">
        <v>160</v>
      </c>
      <c r="C22" s="98"/>
      <c r="D22" s="99"/>
      <c r="E22" s="100"/>
      <c r="F22" s="100"/>
      <c r="G22" s="100"/>
      <c r="H22" s="100"/>
      <c r="I22" s="100"/>
    </row>
    <row r="23" spans="1:9" ht="17.149999999999999" customHeight="1">
      <c r="A23" s="101" t="s">
        <v>161</v>
      </c>
      <c r="B23" s="101" t="s">
        <v>162</v>
      </c>
      <c r="C23" s="102"/>
      <c r="D23" s="103" t="s">
        <v>135</v>
      </c>
      <c r="E23" s="104"/>
      <c r="F23" s="105"/>
      <c r="G23" s="104"/>
      <c r="H23" s="105"/>
      <c r="I23" s="104"/>
    </row>
    <row r="24" spans="1:9" ht="17.149999999999999" customHeight="1">
      <c r="A24" s="101" t="s">
        <v>163</v>
      </c>
      <c r="B24" s="101" t="s">
        <v>780</v>
      </c>
      <c r="C24" s="102"/>
      <c r="D24" s="103" t="s">
        <v>135</v>
      </c>
      <c r="E24" s="104"/>
      <c r="F24" s="105"/>
      <c r="G24" s="104"/>
      <c r="H24" s="105"/>
      <c r="I24" s="104"/>
    </row>
    <row r="25" spans="1:9" ht="17.149999999999999" customHeight="1">
      <c r="A25" s="101" t="s">
        <v>164</v>
      </c>
      <c r="B25" s="101" t="s">
        <v>165</v>
      </c>
      <c r="C25" s="102"/>
      <c r="D25" s="103" t="s">
        <v>135</v>
      </c>
      <c r="E25" s="104"/>
      <c r="F25" s="105"/>
      <c r="G25" s="104"/>
      <c r="H25" s="105"/>
      <c r="I25" s="104"/>
    </row>
    <row r="26" spans="1:9" ht="17.149999999999999" customHeight="1">
      <c r="A26" s="101" t="s">
        <v>166</v>
      </c>
      <c r="B26" s="101" t="s">
        <v>781</v>
      </c>
      <c r="C26" s="102"/>
      <c r="D26" s="103" t="s">
        <v>135</v>
      </c>
      <c r="E26" s="104"/>
      <c r="F26" s="105"/>
      <c r="G26" s="104"/>
      <c r="H26" s="105"/>
      <c r="I26" s="104"/>
    </row>
    <row r="27" spans="1:9" ht="17.149999999999999" customHeight="1">
      <c r="A27" s="101" t="s">
        <v>167</v>
      </c>
      <c r="B27" s="101" t="s">
        <v>83</v>
      </c>
      <c r="C27" s="102"/>
      <c r="D27" s="103" t="s">
        <v>135</v>
      </c>
      <c r="E27" s="104"/>
      <c r="F27" s="105"/>
      <c r="G27" s="104"/>
      <c r="H27" s="105"/>
      <c r="I27" s="104"/>
    </row>
    <row r="28" spans="1:9" ht="17.149999999999999" customHeight="1">
      <c r="A28" s="101" t="s">
        <v>168</v>
      </c>
      <c r="B28" s="101" t="s">
        <v>169</v>
      </c>
      <c r="C28" s="102"/>
      <c r="D28" s="103" t="s">
        <v>135</v>
      </c>
      <c r="E28" s="104"/>
      <c r="F28" s="105"/>
      <c r="G28" s="104"/>
      <c r="H28" s="105"/>
      <c r="I28" s="104"/>
    </row>
    <row r="29" spans="1:9" ht="17.149999999999999" customHeight="1">
      <c r="A29" s="97" t="s">
        <v>170</v>
      </c>
      <c r="B29" s="97" t="s">
        <v>171</v>
      </c>
      <c r="C29" s="98"/>
      <c r="D29" s="99"/>
      <c r="E29" s="100"/>
      <c r="F29" s="100"/>
      <c r="G29" s="100"/>
      <c r="H29" s="100"/>
      <c r="I29" s="100"/>
    </row>
    <row r="30" spans="1:9" ht="17.149999999999999" customHeight="1">
      <c r="A30" s="101" t="s">
        <v>172</v>
      </c>
      <c r="B30" s="101" t="s">
        <v>173</v>
      </c>
      <c r="C30" s="102"/>
      <c r="D30" s="103" t="s">
        <v>135</v>
      </c>
      <c r="E30" s="104"/>
      <c r="F30" s="105"/>
      <c r="G30" s="104"/>
      <c r="H30" s="105"/>
      <c r="I30" s="104"/>
    </row>
    <row r="31" spans="1:9" ht="17.149999999999999" customHeight="1">
      <c r="A31" s="101" t="s">
        <v>174</v>
      </c>
      <c r="B31" s="101" t="s">
        <v>175</v>
      </c>
      <c r="C31" s="102"/>
      <c r="D31" s="103" t="s">
        <v>135</v>
      </c>
      <c r="E31" s="104"/>
      <c r="F31" s="105"/>
      <c r="G31" s="104"/>
      <c r="H31" s="105"/>
      <c r="I31" s="104"/>
    </row>
    <row r="32" spans="1:9" ht="17.149999999999999" customHeight="1">
      <c r="A32" s="101" t="s">
        <v>176</v>
      </c>
      <c r="B32" s="101" t="s">
        <v>788</v>
      </c>
      <c r="C32" s="102"/>
      <c r="D32" s="103" t="s">
        <v>135</v>
      </c>
      <c r="E32" s="104"/>
      <c r="F32" s="105"/>
      <c r="G32" s="104"/>
      <c r="H32" s="105"/>
      <c r="I32" s="104"/>
    </row>
    <row r="33" spans="1:10" ht="17.149999999999999" customHeight="1">
      <c r="A33" s="97" t="s">
        <v>177</v>
      </c>
      <c r="B33" s="97" t="s">
        <v>178</v>
      </c>
      <c r="C33" s="98"/>
      <c r="D33" s="99"/>
      <c r="E33" s="100"/>
      <c r="F33" s="100"/>
      <c r="G33" s="100"/>
      <c r="H33" s="100"/>
      <c r="I33" s="100"/>
    </row>
    <row r="34" spans="1:10" ht="17.149999999999999" customHeight="1">
      <c r="A34" s="101" t="s">
        <v>179</v>
      </c>
      <c r="B34" s="101" t="s">
        <v>180</v>
      </c>
      <c r="C34" s="102"/>
      <c r="D34" s="103" t="s">
        <v>135</v>
      </c>
      <c r="E34" s="104"/>
      <c r="F34" s="105"/>
      <c r="G34" s="104"/>
      <c r="H34" s="105"/>
      <c r="I34" s="104"/>
    </row>
    <row r="35" spans="1:10" ht="25.5" customHeight="1">
      <c r="A35" s="101" t="s">
        <v>181</v>
      </c>
      <c r="B35" s="101" t="s">
        <v>182</v>
      </c>
      <c r="C35" s="102"/>
      <c r="D35" s="103" t="s">
        <v>135</v>
      </c>
      <c r="E35" s="104"/>
      <c r="F35" s="105"/>
      <c r="G35" s="104"/>
      <c r="H35" s="105"/>
      <c r="I35" s="104"/>
    </row>
    <row r="36" spans="1:10" ht="17.149999999999999" customHeight="1">
      <c r="A36" s="101" t="s">
        <v>183</v>
      </c>
      <c r="B36" s="101" t="s">
        <v>184</v>
      </c>
      <c r="C36" s="102"/>
      <c r="D36" s="103" t="s">
        <v>135</v>
      </c>
      <c r="E36" s="104"/>
      <c r="F36" s="105"/>
      <c r="G36" s="104"/>
      <c r="H36" s="105"/>
      <c r="I36" s="104"/>
    </row>
    <row r="37" spans="1:10" ht="25" customHeight="1">
      <c r="A37" s="101" t="s">
        <v>185</v>
      </c>
      <c r="B37" s="101" t="s">
        <v>329</v>
      </c>
      <c r="C37" s="102"/>
      <c r="D37" s="103" t="s">
        <v>135</v>
      </c>
      <c r="E37" s="104"/>
      <c r="F37" s="105"/>
      <c r="G37" s="104"/>
      <c r="H37" s="105"/>
      <c r="I37" s="104"/>
    </row>
    <row r="38" spans="1:10" ht="25" customHeight="1">
      <c r="A38" s="97" t="s">
        <v>186</v>
      </c>
      <c r="B38" s="97" t="s">
        <v>187</v>
      </c>
      <c r="C38" s="98"/>
      <c r="D38" s="99"/>
      <c r="E38" s="100"/>
      <c r="F38" s="100"/>
      <c r="G38" s="100"/>
      <c r="H38" s="100"/>
      <c r="I38" s="100"/>
    </row>
    <row r="39" spans="1:10" ht="17.149999999999999" customHeight="1">
      <c r="A39" s="101" t="s">
        <v>188</v>
      </c>
      <c r="B39" s="101" t="s">
        <v>189</v>
      </c>
      <c r="C39" s="102"/>
      <c r="D39" s="103" t="s">
        <v>135</v>
      </c>
      <c r="E39" s="104"/>
      <c r="F39" s="105"/>
      <c r="G39" s="104"/>
      <c r="H39" s="105"/>
      <c r="I39" s="104"/>
    </row>
    <row r="40" spans="1:10" ht="17.149999999999999" customHeight="1">
      <c r="A40" s="101" t="s">
        <v>190</v>
      </c>
      <c r="B40" s="101" t="s">
        <v>191</v>
      </c>
      <c r="C40" s="102"/>
      <c r="D40" s="103" t="s">
        <v>135</v>
      </c>
      <c r="E40" s="104"/>
      <c r="F40" s="105"/>
      <c r="G40" s="104"/>
      <c r="H40" s="105"/>
      <c r="I40" s="104"/>
      <c r="J40" s="92"/>
    </row>
    <row r="41" spans="1:10" ht="17.149999999999999" customHeight="1">
      <c r="A41" s="101" t="s">
        <v>192</v>
      </c>
      <c r="B41" s="101" t="s">
        <v>193</v>
      </c>
      <c r="C41" s="102"/>
      <c r="D41" s="103" t="s">
        <v>135</v>
      </c>
      <c r="E41" s="104"/>
      <c r="F41" s="105"/>
      <c r="G41" s="104"/>
      <c r="H41" s="105"/>
      <c r="I41" s="104"/>
    </row>
    <row r="42" spans="1:10" ht="17.149999999999999" customHeight="1">
      <c r="A42" s="101" t="s">
        <v>194</v>
      </c>
      <c r="B42" s="101" t="s">
        <v>195</v>
      </c>
      <c r="C42" s="102"/>
      <c r="D42" s="103" t="s">
        <v>135</v>
      </c>
      <c r="E42" s="104"/>
      <c r="F42" s="105"/>
      <c r="G42" s="104"/>
      <c r="H42" s="105"/>
      <c r="I42" s="104"/>
    </row>
    <row r="43" spans="1:10" ht="17.149999999999999" customHeight="1">
      <c r="A43" s="101" t="s">
        <v>196</v>
      </c>
      <c r="B43" s="101" t="s">
        <v>197</v>
      </c>
      <c r="C43" s="102"/>
      <c r="D43" s="103" t="s">
        <v>135</v>
      </c>
      <c r="E43" s="104"/>
      <c r="F43" s="105"/>
      <c r="G43" s="104"/>
      <c r="H43" s="105"/>
      <c r="I43" s="104"/>
    </row>
    <row r="44" spans="1:10" ht="17.149999999999999" customHeight="1">
      <c r="A44" s="101" t="s">
        <v>198</v>
      </c>
      <c r="B44" s="101" t="s">
        <v>199</v>
      </c>
      <c r="C44" s="102"/>
      <c r="D44" s="103" t="s">
        <v>135</v>
      </c>
      <c r="E44" s="104"/>
      <c r="F44" s="105"/>
      <c r="G44" s="104"/>
      <c r="H44" s="105"/>
      <c r="I44" s="104"/>
    </row>
    <row r="45" spans="1:10" ht="17.149999999999999" customHeight="1">
      <c r="A45" s="97" t="s">
        <v>200</v>
      </c>
      <c r="B45" s="97" t="s">
        <v>201</v>
      </c>
      <c r="C45" s="98"/>
      <c r="D45" s="99"/>
      <c r="E45" s="100"/>
      <c r="F45" s="100"/>
      <c r="G45" s="100"/>
      <c r="H45" s="100"/>
      <c r="I45" s="100"/>
    </row>
    <row r="46" spans="1:10" ht="17.149999999999999" customHeight="1">
      <c r="A46" s="101" t="s">
        <v>202</v>
      </c>
      <c r="B46" s="101" t="s">
        <v>203</v>
      </c>
      <c r="C46" s="102"/>
      <c r="D46" s="103" t="s">
        <v>135</v>
      </c>
      <c r="E46" s="104"/>
      <c r="F46" s="105"/>
      <c r="G46" s="104"/>
      <c r="H46" s="105"/>
      <c r="I46" s="104"/>
    </row>
    <row r="47" spans="1:10" ht="17.149999999999999" customHeight="1">
      <c r="A47" s="101" t="s">
        <v>204</v>
      </c>
      <c r="B47" s="101" t="s">
        <v>205</v>
      </c>
      <c r="C47" s="102"/>
      <c r="D47" s="103" t="s">
        <v>135</v>
      </c>
      <c r="E47" s="104"/>
      <c r="F47" s="105"/>
      <c r="G47" s="104"/>
      <c r="H47" s="105"/>
      <c r="I47" s="104"/>
    </row>
    <row r="48" spans="1:10" s="116" customFormat="1" ht="17.149999999999999" customHeight="1">
      <c r="A48" s="111" t="s">
        <v>206</v>
      </c>
      <c r="B48" s="111" t="s">
        <v>207</v>
      </c>
      <c r="C48" s="112"/>
      <c r="D48" s="113"/>
      <c r="E48" s="114"/>
      <c r="F48" s="114"/>
      <c r="G48" s="114"/>
      <c r="H48" s="114"/>
      <c r="I48" s="114"/>
      <c r="J48" s="115"/>
    </row>
    <row r="49" spans="1:10" s="116" customFormat="1" ht="17.149999999999999" customHeight="1">
      <c r="A49" s="101" t="s">
        <v>330</v>
      </c>
      <c r="B49" s="101" t="s">
        <v>207</v>
      </c>
      <c r="C49" s="102"/>
      <c r="D49" s="103" t="s">
        <v>135</v>
      </c>
      <c r="E49" s="104"/>
      <c r="F49" s="105"/>
      <c r="G49" s="104"/>
      <c r="H49" s="105"/>
      <c r="I49" s="104"/>
      <c r="J49" s="115"/>
    </row>
    <row r="50" spans="1:10" ht="16.399999999999999" customHeight="1">
      <c r="A50" s="101"/>
      <c r="B50" s="187" t="s">
        <v>12</v>
      </c>
      <c r="C50" s="188"/>
      <c r="D50" s="188"/>
      <c r="E50" s="188"/>
      <c r="F50" s="189"/>
      <c r="G50" s="106"/>
      <c r="H50"/>
      <c r="I50" s="106"/>
    </row>
    <row r="51" spans="1:10" ht="17.149999999999999" customHeight="1">
      <c r="A51" s="93" t="s">
        <v>208</v>
      </c>
      <c r="B51" s="93" t="s">
        <v>209</v>
      </c>
      <c r="C51" s="94"/>
      <c r="D51" s="95"/>
      <c r="E51" s="96"/>
      <c r="F51" s="96"/>
      <c r="G51" s="96"/>
      <c r="H51" s="96"/>
      <c r="I51" s="96"/>
    </row>
    <row r="52" spans="1:10" ht="17.149999999999999" customHeight="1">
      <c r="A52" s="97" t="s">
        <v>210</v>
      </c>
      <c r="B52" s="97" t="s">
        <v>211</v>
      </c>
      <c r="C52" s="98"/>
      <c r="D52" s="99"/>
      <c r="E52" s="100"/>
      <c r="F52" s="100"/>
      <c r="G52" s="100"/>
      <c r="H52" s="100"/>
      <c r="I52" s="100"/>
    </row>
    <row r="53" spans="1:10" ht="29">
      <c r="A53" s="101" t="s">
        <v>212</v>
      </c>
      <c r="B53" s="117" t="s">
        <v>213</v>
      </c>
      <c r="C53" s="102"/>
      <c r="D53" s="103" t="s">
        <v>135</v>
      </c>
      <c r="E53" s="104"/>
      <c r="F53" s="105"/>
      <c r="G53" s="104"/>
      <c r="H53" s="105"/>
      <c r="I53" s="104"/>
    </row>
    <row r="54" spans="1:10" ht="29">
      <c r="A54" s="101" t="s">
        <v>214</v>
      </c>
      <c r="B54" s="117" t="s">
        <v>215</v>
      </c>
      <c r="C54" s="102"/>
      <c r="D54" s="103" t="s">
        <v>135</v>
      </c>
      <c r="E54" s="104"/>
      <c r="F54" s="105"/>
      <c r="G54" s="104"/>
      <c r="H54" s="105"/>
      <c r="I54" s="104"/>
    </row>
    <row r="55" spans="1:10" ht="17.25" customHeight="1">
      <c r="A55" s="101" t="s">
        <v>216</v>
      </c>
      <c r="B55" s="117" t="s">
        <v>217</v>
      </c>
      <c r="C55" s="102"/>
      <c r="D55" s="103" t="s">
        <v>135</v>
      </c>
      <c r="E55" s="104"/>
      <c r="F55" s="105"/>
      <c r="G55" s="104"/>
      <c r="H55" s="105"/>
      <c r="I55" s="104"/>
    </row>
    <row r="56" spans="1:10" ht="14.5">
      <c r="A56" s="101" t="s">
        <v>218</v>
      </c>
      <c r="B56" s="117" t="s">
        <v>219</v>
      </c>
      <c r="C56" s="102"/>
      <c r="D56" s="103" t="s">
        <v>135</v>
      </c>
      <c r="E56" s="104"/>
      <c r="F56" s="105"/>
      <c r="G56" s="104"/>
      <c r="H56" s="105"/>
      <c r="I56" s="104"/>
    </row>
    <row r="57" spans="1:10" ht="17.149999999999999" customHeight="1">
      <c r="A57" s="101" t="s">
        <v>220</v>
      </c>
      <c r="B57" s="117" t="s">
        <v>221</v>
      </c>
      <c r="C57" s="102"/>
      <c r="D57" s="103" t="s">
        <v>135</v>
      </c>
      <c r="E57" s="104"/>
      <c r="F57" s="105"/>
      <c r="G57" s="104"/>
      <c r="H57" s="105"/>
      <c r="I57" s="104"/>
    </row>
    <row r="58" spans="1:10" ht="17.149999999999999" customHeight="1">
      <c r="A58" s="101" t="s">
        <v>222</v>
      </c>
      <c r="B58" s="117" t="s">
        <v>223</v>
      </c>
      <c r="C58" s="102"/>
      <c r="D58" s="103" t="s">
        <v>135</v>
      </c>
      <c r="E58" s="104"/>
      <c r="F58" s="105"/>
      <c r="G58" s="104"/>
      <c r="H58" s="105"/>
      <c r="I58" s="104"/>
    </row>
    <row r="59" spans="1:10" ht="17.149999999999999" customHeight="1">
      <c r="A59" s="101" t="s">
        <v>224</v>
      </c>
      <c r="B59" s="117" t="s">
        <v>225</v>
      </c>
      <c r="C59" s="102"/>
      <c r="D59" s="103" t="s">
        <v>135</v>
      </c>
      <c r="E59" s="104"/>
      <c r="F59" s="105"/>
      <c r="G59" s="104"/>
      <c r="H59" s="105"/>
      <c r="I59" s="104"/>
    </row>
    <row r="60" spans="1:10" ht="17.149999999999999" customHeight="1">
      <c r="A60" s="101" t="s">
        <v>226</v>
      </c>
      <c r="B60" s="117" t="s">
        <v>227</v>
      </c>
      <c r="C60" s="102"/>
      <c r="D60" s="103" t="s">
        <v>135</v>
      </c>
      <c r="E60" s="104"/>
      <c r="F60" s="105"/>
      <c r="G60" s="104"/>
      <c r="H60" s="105"/>
      <c r="I60" s="104"/>
    </row>
    <row r="61" spans="1:10" ht="17.149999999999999" customHeight="1">
      <c r="A61" s="97" t="s">
        <v>228</v>
      </c>
      <c r="B61" s="97" t="s">
        <v>229</v>
      </c>
      <c r="C61" s="98"/>
      <c r="D61" s="99"/>
      <c r="E61" s="100"/>
      <c r="F61" s="100"/>
      <c r="G61" s="100"/>
      <c r="H61" s="100"/>
      <c r="I61" s="100"/>
    </row>
    <row r="62" spans="1:10" ht="17.149999999999999" customHeight="1">
      <c r="A62" s="101" t="s">
        <v>230</v>
      </c>
      <c r="B62" s="101" t="s">
        <v>231</v>
      </c>
      <c r="C62" s="102"/>
      <c r="D62" s="103" t="s">
        <v>135</v>
      </c>
      <c r="E62" s="104"/>
      <c r="F62" s="105"/>
      <c r="G62" s="104"/>
      <c r="H62" s="105"/>
      <c r="I62" s="104"/>
    </row>
    <row r="63" spans="1:10" ht="14.5">
      <c r="A63" s="97" t="s">
        <v>232</v>
      </c>
      <c r="B63" s="176" t="s">
        <v>233</v>
      </c>
      <c r="C63" s="98"/>
      <c r="D63" s="99"/>
      <c r="E63" s="100"/>
      <c r="F63" s="100"/>
      <c r="G63" s="100"/>
      <c r="H63" s="100"/>
      <c r="I63" s="100"/>
    </row>
    <row r="64" spans="1:10" ht="17.149999999999999" customHeight="1">
      <c r="A64" s="107" t="s">
        <v>234</v>
      </c>
      <c r="B64" s="108" t="s">
        <v>235</v>
      </c>
      <c r="C64" s="102"/>
      <c r="D64" s="103"/>
      <c r="E64" s="104"/>
      <c r="F64" s="105"/>
      <c r="G64" s="104"/>
      <c r="H64" s="105"/>
      <c r="I64" s="104"/>
    </row>
    <row r="65" spans="1:10" ht="16.399999999999999" customHeight="1">
      <c r="A65" s="107" t="s">
        <v>236</v>
      </c>
      <c r="B65" s="107" t="s">
        <v>237</v>
      </c>
      <c r="C65" s="102"/>
      <c r="D65" s="103"/>
      <c r="E65" s="104"/>
      <c r="F65" s="105"/>
      <c r="G65" s="104"/>
      <c r="H65" s="105"/>
      <c r="I65" s="104"/>
    </row>
    <row r="66" spans="1:10" ht="43.5">
      <c r="A66" s="101" t="s">
        <v>238</v>
      </c>
      <c r="B66" s="150" t="s">
        <v>783</v>
      </c>
      <c r="C66" s="177"/>
      <c r="D66" s="103" t="s">
        <v>135</v>
      </c>
      <c r="E66" s="178"/>
      <c r="F66" s="178"/>
      <c r="G66" s="178"/>
      <c r="H66" s="178"/>
      <c r="I66" s="178"/>
    </row>
    <row r="67" spans="1:10" ht="17.149999999999999" customHeight="1">
      <c r="A67" s="101" t="s">
        <v>240</v>
      </c>
      <c r="B67" s="101" t="s">
        <v>239</v>
      </c>
      <c r="C67" s="102"/>
      <c r="D67" s="103" t="s">
        <v>135</v>
      </c>
      <c r="E67" s="104"/>
      <c r="F67" s="105"/>
      <c r="G67" s="104"/>
      <c r="H67" s="105"/>
      <c r="I67" s="104"/>
    </row>
    <row r="68" spans="1:10" ht="17.149999999999999" customHeight="1">
      <c r="A68" s="101" t="s">
        <v>242</v>
      </c>
      <c r="B68" s="101" t="s">
        <v>241</v>
      </c>
      <c r="C68" s="102"/>
      <c r="D68" s="103" t="s">
        <v>135</v>
      </c>
      <c r="E68" s="104"/>
      <c r="F68" s="105"/>
      <c r="G68" s="104"/>
      <c r="H68" s="105"/>
      <c r="I68" s="104"/>
    </row>
    <row r="69" spans="1:10" ht="17.149999999999999" customHeight="1">
      <c r="A69" s="101" t="s">
        <v>244</v>
      </c>
      <c r="B69" s="101" t="s">
        <v>243</v>
      </c>
      <c r="C69" s="102"/>
      <c r="D69" s="103" t="s">
        <v>135</v>
      </c>
      <c r="E69" s="104"/>
      <c r="F69" s="105"/>
      <c r="G69" s="104"/>
      <c r="H69" s="105"/>
      <c r="I69" s="104"/>
    </row>
    <row r="70" spans="1:10" ht="17.149999999999999" customHeight="1">
      <c r="A70" s="101" t="s">
        <v>246</v>
      </c>
      <c r="B70" s="101" t="s">
        <v>245</v>
      </c>
      <c r="C70" s="102"/>
      <c r="D70" s="103" t="s">
        <v>135</v>
      </c>
      <c r="E70" s="104"/>
      <c r="F70" s="105"/>
      <c r="G70" s="104"/>
      <c r="H70" s="105"/>
      <c r="I70" s="104"/>
    </row>
    <row r="71" spans="1:10" ht="17.149999999999999" customHeight="1">
      <c r="A71" s="101" t="s">
        <v>248</v>
      </c>
      <c r="B71" s="101" t="s">
        <v>247</v>
      </c>
      <c r="C71" s="102"/>
      <c r="D71" s="103" t="s">
        <v>135</v>
      </c>
      <c r="E71" s="104"/>
      <c r="F71" s="105"/>
      <c r="G71" s="104"/>
      <c r="H71" s="105"/>
      <c r="I71" s="104"/>
    </row>
    <row r="72" spans="1:10" ht="17.149999999999999" customHeight="1">
      <c r="A72" s="101" t="s">
        <v>250</v>
      </c>
      <c r="B72" s="101" t="s">
        <v>249</v>
      </c>
      <c r="C72" s="102"/>
      <c r="D72" s="103" t="s">
        <v>135</v>
      </c>
      <c r="E72" s="104"/>
      <c r="F72" s="105"/>
      <c r="G72" s="104"/>
      <c r="H72" s="105"/>
      <c r="I72" s="104"/>
    </row>
    <row r="73" spans="1:10" ht="16.399999999999999" customHeight="1">
      <c r="A73" s="101" t="s">
        <v>252</v>
      </c>
      <c r="B73" s="101" t="s">
        <v>251</v>
      </c>
      <c r="C73" s="102"/>
      <c r="D73" s="103" t="s">
        <v>135</v>
      </c>
      <c r="E73" s="104"/>
      <c r="F73" s="105"/>
      <c r="G73" s="104"/>
      <c r="H73" s="105"/>
      <c r="I73" s="104"/>
    </row>
    <row r="74" spans="1:10" ht="16.399999999999999" customHeight="1">
      <c r="A74" s="101" t="s">
        <v>254</v>
      </c>
      <c r="B74" s="101" t="s">
        <v>253</v>
      </c>
      <c r="C74" s="102"/>
      <c r="D74" s="103" t="s">
        <v>135</v>
      </c>
      <c r="E74" s="104"/>
      <c r="F74" s="105"/>
      <c r="G74" s="104"/>
      <c r="H74" s="105"/>
      <c r="I74" s="104"/>
    </row>
    <row r="75" spans="1:10" ht="14.5">
      <c r="A75" s="107" t="s">
        <v>255</v>
      </c>
      <c r="B75" s="107" t="s">
        <v>256</v>
      </c>
      <c r="C75" s="102"/>
      <c r="D75" s="103"/>
      <c r="E75" s="104"/>
      <c r="F75" s="105"/>
      <c r="G75" s="104"/>
      <c r="H75" s="105"/>
      <c r="I75" s="104"/>
    </row>
    <row r="76" spans="1:10" ht="16.399999999999999" customHeight="1">
      <c r="A76" s="101" t="s">
        <v>257</v>
      </c>
      <c r="B76" s="101" t="s">
        <v>247</v>
      </c>
      <c r="C76" s="102"/>
      <c r="D76" s="103" t="s">
        <v>135</v>
      </c>
      <c r="E76" s="104"/>
      <c r="F76" s="105"/>
      <c r="G76" s="104"/>
      <c r="H76" s="105"/>
      <c r="I76" s="104"/>
    </row>
    <row r="77" spans="1:10" ht="16.399999999999999" customHeight="1">
      <c r="A77" s="101" t="s">
        <v>258</v>
      </c>
      <c r="B77" s="101" t="s">
        <v>259</v>
      </c>
      <c r="C77" s="102"/>
      <c r="D77" s="103" t="s">
        <v>135</v>
      </c>
      <c r="E77" s="104"/>
      <c r="F77" s="105"/>
      <c r="G77" s="104"/>
      <c r="H77" s="105"/>
      <c r="I77" s="104"/>
      <c r="J77" s="92"/>
    </row>
    <row r="78" spans="1:10" ht="16.399999999999999" customHeight="1">
      <c r="A78" s="107" t="s">
        <v>260</v>
      </c>
      <c r="B78" s="107" t="s">
        <v>261</v>
      </c>
      <c r="C78" s="102"/>
      <c r="D78" s="103"/>
      <c r="E78" s="104"/>
      <c r="F78" s="105"/>
      <c r="G78" s="104"/>
      <c r="H78" s="105"/>
      <c r="I78" s="104"/>
    </row>
    <row r="79" spans="1:10" ht="16.399999999999999" customHeight="1">
      <c r="A79" s="101" t="s">
        <v>262</v>
      </c>
      <c r="B79" s="101" t="s">
        <v>247</v>
      </c>
      <c r="C79" s="102"/>
      <c r="D79" s="103" t="s">
        <v>135</v>
      </c>
      <c r="E79" s="104"/>
      <c r="F79" s="105"/>
      <c r="G79" s="104"/>
      <c r="H79" s="105"/>
      <c r="I79" s="104"/>
    </row>
    <row r="80" spans="1:10" ht="16.399999999999999" customHeight="1">
      <c r="A80" s="107" t="s">
        <v>263</v>
      </c>
      <c r="B80" s="107" t="s">
        <v>264</v>
      </c>
      <c r="C80" s="102"/>
      <c r="D80" s="103"/>
      <c r="E80" s="104"/>
      <c r="F80" s="105"/>
      <c r="G80" s="104"/>
      <c r="H80" s="105"/>
      <c r="I80" s="104"/>
    </row>
    <row r="81" spans="1:9" ht="16.399999999999999" customHeight="1">
      <c r="A81" s="101" t="s">
        <v>265</v>
      </c>
      <c r="B81" s="101" t="s">
        <v>247</v>
      </c>
      <c r="C81" s="102"/>
      <c r="D81" s="103" t="s">
        <v>135</v>
      </c>
      <c r="E81" s="104"/>
      <c r="F81" s="105"/>
      <c r="G81" s="104"/>
      <c r="H81" s="105"/>
      <c r="I81" s="104"/>
    </row>
    <row r="82" spans="1:9" ht="16.399999999999999" customHeight="1">
      <c r="A82" s="107" t="s">
        <v>266</v>
      </c>
      <c r="B82" s="107" t="s">
        <v>267</v>
      </c>
      <c r="C82" s="102"/>
      <c r="D82" s="103"/>
      <c r="E82" s="104"/>
      <c r="F82" s="105"/>
      <c r="G82" s="104"/>
      <c r="H82" s="105"/>
      <c r="I82" s="104"/>
    </row>
    <row r="83" spans="1:9" ht="16.399999999999999" customHeight="1">
      <c r="A83" s="101" t="s">
        <v>268</v>
      </c>
      <c r="B83" s="101" t="s">
        <v>253</v>
      </c>
      <c r="C83" s="102"/>
      <c r="D83" s="103" t="s">
        <v>135</v>
      </c>
      <c r="E83" s="104"/>
      <c r="F83" s="105"/>
      <c r="G83" s="104"/>
      <c r="H83" s="105"/>
      <c r="I83" s="104"/>
    </row>
    <row r="84" spans="1:9" ht="16.399999999999999" customHeight="1">
      <c r="A84" s="97" t="s">
        <v>269</v>
      </c>
      <c r="B84" s="97" t="s">
        <v>270</v>
      </c>
      <c r="C84" s="98"/>
      <c r="D84" s="99"/>
      <c r="E84" s="100"/>
      <c r="F84" s="100"/>
      <c r="G84" s="100"/>
      <c r="H84" s="100"/>
      <c r="I84" s="100"/>
    </row>
    <row r="85" spans="1:9" ht="16.399999999999999" customHeight="1">
      <c r="A85" s="101" t="s">
        <v>271</v>
      </c>
      <c r="B85" s="101" t="s">
        <v>272</v>
      </c>
      <c r="C85" s="102"/>
      <c r="D85" s="103" t="s">
        <v>135</v>
      </c>
      <c r="E85" s="104"/>
      <c r="F85" s="105"/>
      <c r="G85" s="104"/>
      <c r="H85" s="105"/>
      <c r="I85" s="104"/>
    </row>
    <row r="86" spans="1:9" ht="15.75" customHeight="1">
      <c r="A86" s="97" t="s">
        <v>273</v>
      </c>
      <c r="B86" s="97" t="s">
        <v>274</v>
      </c>
      <c r="C86" s="98"/>
      <c r="D86" s="99"/>
      <c r="E86" s="100"/>
      <c r="F86" s="100"/>
      <c r="G86" s="100"/>
      <c r="H86" s="100"/>
      <c r="I86" s="100"/>
    </row>
    <row r="87" spans="1:9" ht="24" customHeight="1">
      <c r="A87" s="101" t="s">
        <v>275</v>
      </c>
      <c r="B87" s="101" t="s">
        <v>276</v>
      </c>
      <c r="C87" s="102"/>
      <c r="D87" s="103" t="s">
        <v>135</v>
      </c>
      <c r="E87" s="104"/>
      <c r="F87" s="105"/>
      <c r="G87" s="104"/>
      <c r="H87" s="105"/>
      <c r="I87" s="104"/>
    </row>
    <row r="88" spans="1:9" ht="25" customHeight="1">
      <c r="A88" s="101" t="s">
        <v>277</v>
      </c>
      <c r="B88" s="101" t="s">
        <v>278</v>
      </c>
      <c r="C88" s="102"/>
      <c r="D88" s="103" t="s">
        <v>135</v>
      </c>
      <c r="E88" s="104"/>
      <c r="F88" s="105"/>
      <c r="G88" s="104"/>
      <c r="H88" s="105"/>
      <c r="I88" s="104"/>
    </row>
    <row r="89" spans="1:9" ht="15.75" customHeight="1">
      <c r="A89" s="101" t="s">
        <v>279</v>
      </c>
      <c r="B89" s="101" t="s">
        <v>280</v>
      </c>
      <c r="C89" s="102"/>
      <c r="D89" s="103" t="s">
        <v>135</v>
      </c>
      <c r="E89" s="104"/>
      <c r="F89" s="105"/>
      <c r="G89" s="104"/>
      <c r="H89" s="105"/>
      <c r="I89" s="104"/>
    </row>
    <row r="90" spans="1:9" ht="15.75" customHeight="1">
      <c r="A90" s="101" t="s">
        <v>281</v>
      </c>
      <c r="B90" s="101" t="s">
        <v>282</v>
      </c>
      <c r="C90" s="102"/>
      <c r="D90" s="103" t="s">
        <v>135</v>
      </c>
      <c r="E90" s="104"/>
      <c r="F90" s="105"/>
      <c r="G90" s="104"/>
      <c r="H90" s="105"/>
      <c r="I90" s="104"/>
    </row>
    <row r="91" spans="1:9" ht="15.75" customHeight="1">
      <c r="A91" s="101" t="s">
        <v>283</v>
      </c>
      <c r="B91" s="101" t="s">
        <v>284</v>
      </c>
      <c r="C91" s="102"/>
      <c r="D91" s="103" t="s">
        <v>135</v>
      </c>
      <c r="E91" s="104"/>
      <c r="F91" s="105"/>
      <c r="G91" s="104"/>
      <c r="H91" s="105"/>
      <c r="I91" s="104"/>
    </row>
    <row r="92" spans="1:9" ht="15.75" customHeight="1">
      <c r="A92" s="101" t="s">
        <v>285</v>
      </c>
      <c r="B92" s="101" t="s">
        <v>286</v>
      </c>
      <c r="C92" s="102"/>
      <c r="D92" s="103" t="s">
        <v>135</v>
      </c>
      <c r="E92" s="104"/>
      <c r="F92" s="105"/>
      <c r="G92" s="104"/>
      <c r="H92" s="105"/>
      <c r="I92" s="104"/>
    </row>
    <row r="93" spans="1:9" ht="15.75" customHeight="1">
      <c r="A93" s="101" t="s">
        <v>784</v>
      </c>
      <c r="B93" s="101" t="s">
        <v>785</v>
      </c>
      <c r="C93" s="102"/>
      <c r="D93" s="103" t="s">
        <v>135</v>
      </c>
      <c r="E93" s="104"/>
      <c r="F93" s="105"/>
      <c r="G93" s="104"/>
      <c r="H93" s="105"/>
      <c r="I93" s="104"/>
    </row>
    <row r="94" spans="1:9" ht="15.75" customHeight="1">
      <c r="A94" s="97" t="s">
        <v>287</v>
      </c>
      <c r="B94" s="97" t="s">
        <v>288</v>
      </c>
      <c r="C94" s="98"/>
      <c r="D94" s="99"/>
      <c r="E94" s="100"/>
      <c r="F94" s="100"/>
      <c r="G94" s="100"/>
      <c r="H94" s="100"/>
      <c r="I94" s="100"/>
    </row>
    <row r="95" spans="1:9" ht="15.75" customHeight="1">
      <c r="A95" s="101" t="s">
        <v>289</v>
      </c>
      <c r="B95" s="101" t="s">
        <v>290</v>
      </c>
      <c r="C95" s="102"/>
      <c r="D95" s="103" t="s">
        <v>135</v>
      </c>
      <c r="E95" s="104"/>
      <c r="F95" s="105"/>
      <c r="G95" s="104"/>
      <c r="H95" s="105"/>
      <c r="I95" s="104"/>
    </row>
    <row r="96" spans="1:9" ht="15.75" customHeight="1">
      <c r="A96" s="101" t="s">
        <v>291</v>
      </c>
      <c r="B96" s="101" t="s">
        <v>292</v>
      </c>
      <c r="C96" s="102"/>
      <c r="D96" s="103" t="s">
        <v>135</v>
      </c>
      <c r="E96" s="104"/>
      <c r="F96" s="105"/>
      <c r="G96" s="104"/>
      <c r="H96" s="105"/>
      <c r="I96" s="104"/>
    </row>
    <row r="97" spans="1:10" ht="15.75" customHeight="1">
      <c r="A97" s="101" t="s">
        <v>293</v>
      </c>
      <c r="B97" s="101" t="s">
        <v>782</v>
      </c>
      <c r="C97" s="102"/>
      <c r="D97" s="103" t="s">
        <v>135</v>
      </c>
      <c r="E97" s="104"/>
      <c r="F97" s="105"/>
      <c r="G97" s="104"/>
      <c r="H97" s="105"/>
      <c r="I97" s="104"/>
      <c r="J97" s="92"/>
    </row>
    <row r="98" spans="1:10" ht="15.75" customHeight="1">
      <c r="A98" s="101" t="s">
        <v>294</v>
      </c>
      <c r="B98" s="101" t="s">
        <v>295</v>
      </c>
      <c r="C98" s="102"/>
      <c r="D98" s="103" t="s">
        <v>135</v>
      </c>
      <c r="E98" s="104"/>
      <c r="F98" s="105"/>
      <c r="G98" s="104"/>
      <c r="H98" s="105"/>
      <c r="I98" s="104"/>
    </row>
    <row r="99" spans="1:10" ht="15.75" customHeight="1">
      <c r="A99" s="97" t="s">
        <v>296</v>
      </c>
      <c r="B99" s="97" t="s">
        <v>790</v>
      </c>
      <c r="C99" s="98"/>
      <c r="D99" s="99"/>
      <c r="E99" s="100"/>
      <c r="F99" s="100"/>
      <c r="G99" s="100"/>
      <c r="H99" s="100"/>
      <c r="I99" s="100"/>
    </row>
    <row r="100" spans="1:10" ht="15.75" customHeight="1">
      <c r="A100" s="101" t="s">
        <v>297</v>
      </c>
      <c r="B100" s="101" t="s">
        <v>789</v>
      </c>
      <c r="C100" s="102"/>
      <c r="D100" s="103" t="s">
        <v>135</v>
      </c>
      <c r="E100" s="104"/>
      <c r="F100" s="105"/>
      <c r="G100" s="104"/>
      <c r="H100" s="105"/>
      <c r="I100" s="104"/>
    </row>
    <row r="101" spans="1:10" ht="24" customHeight="1">
      <c r="A101" s="97" t="s">
        <v>298</v>
      </c>
      <c r="B101" s="97" t="s">
        <v>207</v>
      </c>
      <c r="C101" s="98"/>
      <c r="D101" s="99"/>
      <c r="E101" s="100"/>
      <c r="F101" s="100"/>
      <c r="G101" s="100"/>
      <c r="H101" s="100"/>
      <c r="I101" s="100"/>
    </row>
    <row r="102" spans="1:10" ht="15.75" customHeight="1">
      <c r="A102" s="101" t="s">
        <v>299</v>
      </c>
      <c r="B102" s="101" t="s">
        <v>207</v>
      </c>
      <c r="C102" s="102"/>
      <c r="D102" s="103" t="s">
        <v>135</v>
      </c>
      <c r="E102" s="104"/>
      <c r="F102" s="105"/>
      <c r="G102" s="104"/>
      <c r="H102" s="105"/>
      <c r="I102" s="104"/>
    </row>
    <row r="103" spans="1:10" ht="14.5">
      <c r="A103" s="101"/>
      <c r="B103" s="187" t="s">
        <v>13</v>
      </c>
      <c r="C103" s="188"/>
      <c r="D103" s="188"/>
      <c r="E103" s="188"/>
      <c r="F103" s="189"/>
      <c r="G103" s="106"/>
      <c r="H103"/>
      <c r="I103" s="106"/>
    </row>
    <row r="104" spans="1:10" ht="24" customHeight="1">
      <c r="A104" s="93" t="s">
        <v>300</v>
      </c>
      <c r="B104" s="93" t="s">
        <v>301</v>
      </c>
      <c r="C104" s="94"/>
      <c r="D104" s="95"/>
      <c r="E104" s="96"/>
      <c r="F104" s="96"/>
      <c r="G104" s="96"/>
      <c r="H104" s="96"/>
      <c r="I104" s="96"/>
    </row>
    <row r="105" spans="1:10" ht="24" customHeight="1">
      <c r="A105" s="109" t="s">
        <v>302</v>
      </c>
      <c r="B105" s="101" t="s">
        <v>303</v>
      </c>
      <c r="C105" s="109"/>
      <c r="D105" s="103" t="s">
        <v>304</v>
      </c>
      <c r="E105" s="109"/>
      <c r="F105" s="109"/>
      <c r="G105" s="109"/>
      <c r="H105" s="109"/>
      <c r="I105" s="109"/>
    </row>
    <row r="106" spans="1:10" ht="24" customHeight="1">
      <c r="A106" s="109" t="s">
        <v>305</v>
      </c>
      <c r="B106" s="101" t="s">
        <v>306</v>
      </c>
      <c r="C106" s="109"/>
      <c r="D106" s="103" t="s">
        <v>304</v>
      </c>
      <c r="E106" s="109"/>
      <c r="F106" s="109"/>
      <c r="G106" s="109"/>
      <c r="H106" s="109"/>
      <c r="I106" s="109"/>
    </row>
    <row r="107" spans="1:10" ht="24" customHeight="1">
      <c r="A107" s="109" t="s">
        <v>307</v>
      </c>
      <c r="B107" s="101" t="s">
        <v>308</v>
      </c>
      <c r="C107" s="109"/>
      <c r="D107" s="103" t="s">
        <v>309</v>
      </c>
      <c r="E107" s="109"/>
      <c r="F107" s="109"/>
      <c r="G107" s="109"/>
      <c r="H107" s="109"/>
      <c r="I107" s="109"/>
    </row>
    <row r="108" spans="1:10" ht="24.75" customHeight="1">
      <c r="A108" s="109" t="s">
        <v>310</v>
      </c>
      <c r="B108" s="101" t="s">
        <v>311</v>
      </c>
      <c r="C108" s="109"/>
      <c r="D108" s="103" t="s">
        <v>304</v>
      </c>
      <c r="E108" s="109"/>
      <c r="F108" s="109"/>
      <c r="G108" s="109"/>
      <c r="H108" s="109"/>
      <c r="I108" s="109"/>
    </row>
    <row r="109" spans="1:10" ht="24.75" customHeight="1">
      <c r="A109" s="109" t="s">
        <v>312</v>
      </c>
      <c r="B109" s="101" t="s">
        <v>313</v>
      </c>
      <c r="C109" s="109"/>
      <c r="D109" s="103" t="s">
        <v>309</v>
      </c>
      <c r="E109" s="109"/>
      <c r="F109" s="109"/>
      <c r="G109" s="109"/>
      <c r="H109" s="109"/>
      <c r="I109" s="109"/>
    </row>
    <row r="110" spans="1:10" ht="24.75" customHeight="1">
      <c r="A110" s="109" t="s">
        <v>314</v>
      </c>
      <c r="B110" s="101" t="s">
        <v>315</v>
      </c>
      <c r="C110" s="109"/>
      <c r="D110" s="103" t="s">
        <v>51</v>
      </c>
      <c r="E110" s="109"/>
      <c r="F110" s="109"/>
      <c r="G110" s="109"/>
      <c r="H110" s="109"/>
      <c r="I110" s="109"/>
    </row>
    <row r="111" spans="1:10" ht="24.75" customHeight="1">
      <c r="A111" s="109" t="s">
        <v>316</v>
      </c>
      <c r="B111" s="101" t="s">
        <v>317</v>
      </c>
      <c r="C111" s="109"/>
      <c r="D111" s="103" t="s">
        <v>304</v>
      </c>
      <c r="E111" s="109"/>
      <c r="F111" s="109"/>
      <c r="G111" s="109"/>
      <c r="H111" s="109"/>
      <c r="I111" s="109"/>
    </row>
    <row r="112" spans="1:10" ht="24.75" customHeight="1">
      <c r="A112" s="109" t="s">
        <v>318</v>
      </c>
      <c r="B112" s="101" t="s">
        <v>319</v>
      </c>
      <c r="C112" s="109"/>
      <c r="D112" s="103" t="s">
        <v>304</v>
      </c>
      <c r="E112" s="109"/>
      <c r="F112" s="109"/>
      <c r="G112" s="109"/>
      <c r="H112" s="109"/>
      <c r="I112" s="109"/>
    </row>
    <row r="113" spans="1:9" ht="14.5">
      <c r="A113" s="109" t="s">
        <v>320</v>
      </c>
      <c r="B113" s="101" t="s">
        <v>321</v>
      </c>
      <c r="C113" s="109"/>
      <c r="D113" s="103" t="s">
        <v>322</v>
      </c>
      <c r="E113" s="109"/>
      <c r="F113" s="109"/>
      <c r="G113" s="109"/>
      <c r="H113" s="109"/>
      <c r="I113" s="109"/>
    </row>
    <row r="114" spans="1:9" ht="14.5">
      <c r="A114" s="109" t="s">
        <v>323</v>
      </c>
      <c r="B114" s="101" t="s">
        <v>324</v>
      </c>
      <c r="C114" s="109"/>
      <c r="D114" s="103" t="s">
        <v>304</v>
      </c>
      <c r="E114" s="109"/>
      <c r="F114" s="109"/>
      <c r="G114" s="109"/>
      <c r="H114" s="109"/>
      <c r="I114" s="109"/>
    </row>
    <row r="115" spans="1:9" ht="14.5">
      <c r="A115" s="109" t="s">
        <v>325</v>
      </c>
      <c r="B115" s="101" t="s">
        <v>326</v>
      </c>
      <c r="C115" s="109"/>
      <c r="D115" s="103" t="s">
        <v>304</v>
      </c>
      <c r="E115" s="109"/>
      <c r="F115" s="109"/>
      <c r="G115" s="109"/>
      <c r="H115" s="109"/>
      <c r="I115" s="109"/>
    </row>
    <row r="116" spans="1:9" ht="14.5">
      <c r="A116" s="101"/>
      <c r="B116" s="187" t="s">
        <v>14</v>
      </c>
      <c r="C116" s="188"/>
      <c r="D116" s="188"/>
      <c r="E116" s="188"/>
      <c r="F116" s="189"/>
      <c r="G116" s="106"/>
      <c r="H116"/>
      <c r="I116" s="106"/>
    </row>
    <row r="117" spans="1:9" ht="24" customHeight="1">
      <c r="A117" s="93" t="s">
        <v>18</v>
      </c>
      <c r="B117" s="93" t="s">
        <v>1</v>
      </c>
      <c r="C117" s="94"/>
      <c r="D117" s="95"/>
      <c r="E117" s="96"/>
      <c r="F117" s="96"/>
      <c r="G117" s="96"/>
      <c r="H117" s="96"/>
      <c r="I117" s="96"/>
    </row>
    <row r="118" spans="1:9" ht="14.5">
      <c r="A118" s="118" t="s">
        <v>19</v>
      </c>
      <c r="B118" s="110" t="s">
        <v>2</v>
      </c>
      <c r="C118" s="109"/>
      <c r="D118" s="103" t="s">
        <v>135</v>
      </c>
      <c r="E118" s="109"/>
      <c r="F118" s="119"/>
      <c r="G118" s="119"/>
      <c r="H118" s="119"/>
      <c r="I118" s="119"/>
    </row>
    <row r="119" spans="1:9" ht="14.5">
      <c r="A119" s="118" t="s">
        <v>20</v>
      </c>
      <c r="B119" s="110" t="s">
        <v>3</v>
      </c>
      <c r="C119" s="109"/>
      <c r="D119" s="103" t="s">
        <v>135</v>
      </c>
      <c r="E119" s="109"/>
      <c r="F119" s="119"/>
      <c r="G119" s="119"/>
      <c r="H119" s="119"/>
      <c r="I119" s="119"/>
    </row>
    <row r="120" spans="1:9" ht="14.5">
      <c r="A120" s="118" t="s">
        <v>21</v>
      </c>
      <c r="B120" s="110" t="s">
        <v>4</v>
      </c>
      <c r="C120" s="109"/>
      <c r="D120" s="103" t="s">
        <v>135</v>
      </c>
      <c r="E120" s="109"/>
      <c r="F120" s="119"/>
      <c r="G120" s="119"/>
      <c r="H120" s="119"/>
      <c r="I120" s="119"/>
    </row>
    <row r="121" spans="1:9" ht="14.5">
      <c r="A121" s="118" t="s">
        <v>22</v>
      </c>
      <c r="B121" s="110" t="s">
        <v>5</v>
      </c>
      <c r="C121" s="109"/>
      <c r="D121" s="103" t="s">
        <v>135</v>
      </c>
      <c r="E121" s="109"/>
      <c r="F121" s="119"/>
      <c r="G121" s="119"/>
      <c r="H121" s="119"/>
      <c r="I121" s="119"/>
    </row>
    <row r="122" spans="1:9" ht="14.5">
      <c r="A122" s="118" t="s">
        <v>23</v>
      </c>
      <c r="B122" s="110" t="s">
        <v>6</v>
      </c>
      <c r="C122" s="109"/>
      <c r="D122" s="103" t="s">
        <v>135</v>
      </c>
      <c r="E122" s="109"/>
      <c r="F122" s="119"/>
      <c r="G122" s="119"/>
      <c r="H122" s="119"/>
      <c r="I122" s="119"/>
    </row>
    <row r="123" spans="1:9" ht="14.5">
      <c r="A123" s="101"/>
      <c r="B123" s="184" t="s">
        <v>24</v>
      </c>
      <c r="C123" s="184"/>
      <c r="D123" s="184"/>
      <c r="E123" s="184"/>
      <c r="F123" s="184"/>
      <c r="G123" s="120"/>
      <c r="H123" s="90"/>
      <c r="I123" s="120"/>
    </row>
    <row r="125" spans="1:9" ht="14.5">
      <c r="A125" s="121" t="s">
        <v>12</v>
      </c>
      <c r="B125" s="121"/>
      <c r="C125" s="121"/>
      <c r="D125" s="121"/>
      <c r="E125" s="121"/>
      <c r="F125" s="122"/>
      <c r="G125" s="58"/>
    </row>
    <row r="126" spans="1:9" ht="14.5">
      <c r="A126" s="121" t="s">
        <v>13</v>
      </c>
      <c r="B126" s="121"/>
      <c r="C126" s="121"/>
      <c r="D126" s="121"/>
      <c r="E126" s="121"/>
      <c r="F126" s="122"/>
      <c r="G126" s="58"/>
    </row>
    <row r="127" spans="1:9" ht="14.5">
      <c r="A127" s="121" t="s">
        <v>14</v>
      </c>
      <c r="B127" s="121"/>
      <c r="C127" s="121"/>
      <c r="D127" s="121"/>
      <c r="E127" s="121"/>
      <c r="F127" s="122"/>
      <c r="G127" s="58"/>
    </row>
    <row r="128" spans="1:9" ht="14.5">
      <c r="A128" s="121" t="s">
        <v>24</v>
      </c>
      <c r="B128" s="121"/>
      <c r="C128" s="121"/>
      <c r="D128" s="121"/>
      <c r="E128" s="121"/>
      <c r="F128" s="122"/>
      <c r="G128" s="58"/>
    </row>
    <row r="129" spans="1:7" ht="14.5">
      <c r="A129" s="121" t="s">
        <v>25</v>
      </c>
      <c r="B129" s="121"/>
      <c r="C129" s="121"/>
      <c r="D129" s="121"/>
      <c r="E129" s="121"/>
      <c r="F129" s="122"/>
      <c r="G129" s="123"/>
    </row>
  </sheetData>
  <mergeCells count="11">
    <mergeCell ref="B123:F123"/>
    <mergeCell ref="F4:G4"/>
    <mergeCell ref="H4:I4"/>
    <mergeCell ref="B50:F50"/>
    <mergeCell ref="B103:F103"/>
    <mergeCell ref="B116:F116"/>
    <mergeCell ref="A4:A6"/>
    <mergeCell ref="B4:B6"/>
    <mergeCell ref="C4:C6"/>
    <mergeCell ref="E4:E6"/>
    <mergeCell ref="D4:D6"/>
  </mergeCells>
  <phoneticPr fontId="46" type="noConversion"/>
  <printOptions horizontalCentered="1"/>
  <pageMargins left="0.31496062992125984" right="0.31496062992125984" top="0.51181102362204722" bottom="0.59055118110236227" header="0.31496062992125984" footer="0.31496062992125984"/>
  <pageSetup paperSize="9" scale="95" orientation="landscape" r:id="rId1"/>
  <headerFooter>
    <oddHeader>&amp;L&amp;"Calibri,Normal"Bordereaux des prix</oddHeader>
    <oddFooter>&amp;L&amp;"Calibri,Normal"STEP Abdelmoumen – Marché n° SP 95556 P4 (Appel d’Offres n° SP 457 747)&amp;R&amp;"Calibri,Normal"Page &amp;P/&amp;N</oddFooter>
  </headerFooter>
  <rowBreaks count="2" manualBreakCount="2">
    <brk id="27" max="6" man="1"/>
    <brk id="90"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9"/>
  <sheetViews>
    <sheetView topLeftCell="A76" zoomScaleNormal="100" zoomScaleSheetLayoutView="90" workbookViewId="0">
      <selection activeCell="B99" sqref="B99:B100"/>
    </sheetView>
  </sheetViews>
  <sheetFormatPr baseColWidth="10" defaultColWidth="11.54296875" defaultRowHeight="12.5"/>
  <cols>
    <col min="2" max="2" width="60.7265625" customWidth="1"/>
    <col min="3" max="4" width="10" customWidth="1"/>
    <col min="5" max="5" width="9.54296875" customWidth="1"/>
    <col min="6" max="6" width="14.81640625" style="59" customWidth="1"/>
    <col min="7" max="7" width="21.54296875" customWidth="1"/>
  </cols>
  <sheetData>
    <row r="1" spans="1:7" ht="9" customHeight="1"/>
    <row r="2" spans="1:7" ht="14.5">
      <c r="A2" s="3" t="s">
        <v>34</v>
      </c>
    </row>
    <row r="4" spans="1:7" ht="30.65" customHeight="1">
      <c r="A4" s="4" t="s">
        <v>0</v>
      </c>
      <c r="B4" s="4" t="s">
        <v>15</v>
      </c>
      <c r="C4" s="181" t="s">
        <v>26</v>
      </c>
      <c r="D4" s="181" t="s">
        <v>47</v>
      </c>
      <c r="E4" s="181" t="s">
        <v>327</v>
      </c>
      <c r="F4" s="60" t="s">
        <v>122</v>
      </c>
      <c r="G4" s="55" t="s">
        <v>107</v>
      </c>
    </row>
    <row r="5" spans="1:7" ht="15" customHeight="1">
      <c r="A5" s="5"/>
      <c r="B5" s="5"/>
      <c r="C5" s="182"/>
      <c r="D5" s="182"/>
      <c r="E5" s="182"/>
      <c r="F5" s="61" t="s">
        <v>126</v>
      </c>
      <c r="G5" s="56" t="s">
        <v>126</v>
      </c>
    </row>
    <row r="6" spans="1:7" ht="15" customHeight="1">
      <c r="A6" s="6"/>
      <c r="B6" s="6"/>
      <c r="C6" s="183"/>
      <c r="D6" s="183"/>
      <c r="E6" s="183"/>
      <c r="F6" s="62" t="s">
        <v>17</v>
      </c>
      <c r="G6" s="57" t="s">
        <v>11</v>
      </c>
    </row>
    <row r="7" spans="1:7" ht="25" customHeight="1">
      <c r="A7" s="93" t="s">
        <v>331</v>
      </c>
      <c r="B7" s="93" t="s">
        <v>130</v>
      </c>
      <c r="C7" s="94"/>
      <c r="D7" s="95"/>
      <c r="E7" s="96"/>
      <c r="F7" s="96"/>
      <c r="G7" s="96"/>
    </row>
    <row r="8" spans="1:7" ht="17.149999999999999" customHeight="1">
      <c r="A8" s="97" t="s">
        <v>332</v>
      </c>
      <c r="B8" s="97" t="s">
        <v>132</v>
      </c>
      <c r="C8" s="98"/>
      <c r="D8" s="99"/>
      <c r="E8" s="100"/>
      <c r="F8" s="100"/>
      <c r="G8" s="100"/>
    </row>
    <row r="9" spans="1:7" ht="17.149999999999999" customHeight="1">
      <c r="A9" s="101" t="s">
        <v>338</v>
      </c>
      <c r="B9" s="101" t="s">
        <v>134</v>
      </c>
      <c r="C9" s="102"/>
      <c r="D9" s="103" t="s">
        <v>135</v>
      </c>
      <c r="E9" s="104"/>
      <c r="F9" s="105"/>
      <c r="G9" s="105"/>
    </row>
    <row r="10" spans="1:7" ht="17.149999999999999" customHeight="1">
      <c r="A10" s="101" t="s">
        <v>339</v>
      </c>
      <c r="B10" s="101" t="s">
        <v>137</v>
      </c>
      <c r="C10" s="102"/>
      <c r="D10" s="103" t="s">
        <v>135</v>
      </c>
      <c r="E10" s="104"/>
      <c r="F10" s="105"/>
      <c r="G10" s="105"/>
    </row>
    <row r="11" spans="1:7" ht="17.149999999999999" customHeight="1">
      <c r="A11" s="101" t="s">
        <v>340</v>
      </c>
      <c r="B11" s="101" t="s">
        <v>139</v>
      </c>
      <c r="C11" s="102"/>
      <c r="D11" s="103" t="s">
        <v>135</v>
      </c>
      <c r="E11" s="104"/>
      <c r="F11" s="105"/>
      <c r="G11" s="105"/>
    </row>
    <row r="12" spans="1:7" ht="17.149999999999999" customHeight="1">
      <c r="A12" s="101" t="s">
        <v>341</v>
      </c>
      <c r="B12" s="101" t="s">
        <v>141</v>
      </c>
      <c r="C12" s="102"/>
      <c r="D12" s="103" t="s">
        <v>135</v>
      </c>
      <c r="E12" s="104"/>
      <c r="F12" s="105"/>
      <c r="G12" s="105"/>
    </row>
    <row r="13" spans="1:7" ht="17.149999999999999" customHeight="1">
      <c r="A13" s="101" t="s">
        <v>342</v>
      </c>
      <c r="B13" s="101" t="s">
        <v>143</v>
      </c>
      <c r="C13" s="102"/>
      <c r="D13" s="103" t="s">
        <v>135</v>
      </c>
      <c r="E13" s="104"/>
      <c r="F13" s="105"/>
      <c r="G13" s="105"/>
    </row>
    <row r="14" spans="1:7" ht="17.149999999999999" customHeight="1">
      <c r="A14" s="97" t="s">
        <v>333</v>
      </c>
      <c r="B14" s="97" t="s">
        <v>145</v>
      </c>
      <c r="C14" s="98"/>
      <c r="D14" s="99"/>
      <c r="E14" s="100"/>
      <c r="F14" s="100"/>
      <c r="G14" s="100"/>
    </row>
    <row r="15" spans="1:7" ht="26.25" customHeight="1">
      <c r="A15" s="101" t="s">
        <v>343</v>
      </c>
      <c r="B15" s="101" t="s">
        <v>147</v>
      </c>
      <c r="C15" s="102"/>
      <c r="D15" s="103" t="s">
        <v>135</v>
      </c>
      <c r="E15" s="104"/>
      <c r="F15" s="105"/>
      <c r="G15" s="105"/>
    </row>
    <row r="16" spans="1:7" ht="26.25" customHeight="1">
      <c r="A16" s="101" t="s">
        <v>344</v>
      </c>
      <c r="B16" s="101" t="s">
        <v>149</v>
      </c>
      <c r="C16" s="102"/>
      <c r="D16" s="103" t="s">
        <v>135</v>
      </c>
      <c r="E16" s="104"/>
      <c r="F16" s="105"/>
      <c r="G16" s="105"/>
    </row>
    <row r="17" spans="1:7" ht="17.149999999999999" customHeight="1">
      <c r="A17" s="101" t="s">
        <v>345</v>
      </c>
      <c r="B17" s="101" t="s">
        <v>151</v>
      </c>
      <c r="C17" s="102"/>
      <c r="D17" s="103" t="s">
        <v>135</v>
      </c>
      <c r="E17" s="104"/>
      <c r="F17" s="105"/>
      <c r="G17" s="105"/>
    </row>
    <row r="18" spans="1:7" ht="17.149999999999999" customHeight="1">
      <c r="A18" s="101" t="s">
        <v>346</v>
      </c>
      <c r="B18" s="101" t="s">
        <v>153</v>
      </c>
      <c r="C18" s="102"/>
      <c r="D18" s="103" t="s">
        <v>135</v>
      </c>
      <c r="E18" s="104"/>
      <c r="F18" s="105"/>
      <c r="G18" s="105"/>
    </row>
    <row r="19" spans="1:7" ht="17.149999999999999" customHeight="1">
      <c r="A19" s="101" t="s">
        <v>347</v>
      </c>
      <c r="B19" s="101" t="s">
        <v>155</v>
      </c>
      <c r="C19" s="102"/>
      <c r="D19" s="103" t="s">
        <v>135</v>
      </c>
      <c r="E19" s="104"/>
      <c r="F19" s="105"/>
      <c r="G19" s="105"/>
    </row>
    <row r="20" spans="1:7" ht="17.149999999999999" customHeight="1">
      <c r="A20" s="101" t="s">
        <v>348</v>
      </c>
      <c r="B20" s="101" t="s">
        <v>157</v>
      </c>
      <c r="C20" s="102"/>
      <c r="D20" s="103" t="s">
        <v>135</v>
      </c>
      <c r="E20" s="104"/>
      <c r="F20" s="105"/>
      <c r="G20" s="105"/>
    </row>
    <row r="21" spans="1:7" ht="17.149999999999999" customHeight="1">
      <c r="A21" s="101" t="s">
        <v>349</v>
      </c>
      <c r="B21" s="101" t="s">
        <v>328</v>
      </c>
      <c r="C21" s="102"/>
      <c r="D21" s="103" t="s">
        <v>135</v>
      </c>
      <c r="E21" s="104"/>
      <c r="F21" s="105"/>
      <c r="G21" s="105"/>
    </row>
    <row r="22" spans="1:7" ht="17.149999999999999" customHeight="1">
      <c r="A22" s="97" t="s">
        <v>334</v>
      </c>
      <c r="B22" s="97" t="s">
        <v>160</v>
      </c>
      <c r="C22" s="98"/>
      <c r="D22" s="99"/>
      <c r="E22" s="100"/>
      <c r="F22" s="100"/>
      <c r="G22" s="100"/>
    </row>
    <row r="23" spans="1:7" ht="17.149999999999999" customHeight="1">
      <c r="A23" s="101" t="s">
        <v>350</v>
      </c>
      <c r="B23" s="101" t="s">
        <v>162</v>
      </c>
      <c r="C23" s="102"/>
      <c r="D23" s="103" t="s">
        <v>135</v>
      </c>
      <c r="E23" s="104"/>
      <c r="F23" s="105"/>
      <c r="G23" s="105"/>
    </row>
    <row r="24" spans="1:7" ht="17.149999999999999" customHeight="1">
      <c r="A24" s="101" t="s">
        <v>351</v>
      </c>
      <c r="B24" s="101" t="s">
        <v>780</v>
      </c>
      <c r="C24" s="102"/>
      <c r="D24" s="103" t="s">
        <v>135</v>
      </c>
      <c r="E24" s="104"/>
      <c r="F24" s="105"/>
      <c r="G24" s="105"/>
    </row>
    <row r="25" spans="1:7" ht="17.149999999999999" customHeight="1">
      <c r="A25" s="101" t="s">
        <v>352</v>
      </c>
      <c r="B25" s="101" t="s">
        <v>165</v>
      </c>
      <c r="C25" s="102"/>
      <c r="D25" s="103" t="s">
        <v>135</v>
      </c>
      <c r="E25" s="104"/>
      <c r="F25" s="105"/>
      <c r="G25" s="105"/>
    </row>
    <row r="26" spans="1:7" ht="17.149999999999999" customHeight="1">
      <c r="A26" s="101" t="s">
        <v>353</v>
      </c>
      <c r="B26" s="101" t="s">
        <v>781</v>
      </c>
      <c r="C26" s="102"/>
      <c r="D26" s="103" t="s">
        <v>135</v>
      </c>
      <c r="E26" s="104"/>
      <c r="F26" s="105"/>
      <c r="G26" s="105"/>
    </row>
    <row r="27" spans="1:7" ht="17.149999999999999" customHeight="1">
      <c r="A27" s="101" t="s">
        <v>354</v>
      </c>
      <c r="B27" s="101" t="s">
        <v>83</v>
      </c>
      <c r="C27" s="102"/>
      <c r="D27" s="103" t="s">
        <v>135</v>
      </c>
      <c r="E27" s="104"/>
      <c r="F27" s="105"/>
      <c r="G27" s="105"/>
    </row>
    <row r="28" spans="1:7" ht="17.149999999999999" customHeight="1">
      <c r="A28" s="101" t="s">
        <v>355</v>
      </c>
      <c r="B28" s="101" t="s">
        <v>169</v>
      </c>
      <c r="C28" s="102"/>
      <c r="D28" s="103" t="s">
        <v>135</v>
      </c>
      <c r="E28" s="104"/>
      <c r="F28" s="105"/>
      <c r="G28" s="105"/>
    </row>
    <row r="29" spans="1:7" ht="17.149999999999999" customHeight="1">
      <c r="A29" s="97" t="s">
        <v>335</v>
      </c>
      <c r="B29" s="97" t="s">
        <v>171</v>
      </c>
      <c r="C29" s="98"/>
      <c r="D29" s="99"/>
      <c r="E29" s="100"/>
      <c r="F29" s="100"/>
      <c r="G29" s="100"/>
    </row>
    <row r="30" spans="1:7" ht="17.149999999999999" customHeight="1">
      <c r="A30" s="101" t="s">
        <v>356</v>
      </c>
      <c r="B30" s="101" t="s">
        <v>173</v>
      </c>
      <c r="C30" s="102"/>
      <c r="D30" s="103" t="s">
        <v>135</v>
      </c>
      <c r="E30" s="104"/>
      <c r="F30" s="105"/>
      <c r="G30" s="105"/>
    </row>
    <row r="31" spans="1:7" ht="17.149999999999999" customHeight="1">
      <c r="A31" s="101" t="s">
        <v>357</v>
      </c>
      <c r="B31" s="101" t="s">
        <v>175</v>
      </c>
      <c r="C31" s="102"/>
      <c r="D31" s="103" t="s">
        <v>135</v>
      </c>
      <c r="E31" s="104"/>
      <c r="F31" s="105"/>
      <c r="G31" s="105"/>
    </row>
    <row r="32" spans="1:7" ht="17.149999999999999" customHeight="1">
      <c r="A32" s="101" t="s">
        <v>358</v>
      </c>
      <c r="B32" s="101" t="s">
        <v>788</v>
      </c>
      <c r="C32" s="102"/>
      <c r="D32" s="103" t="s">
        <v>135</v>
      </c>
      <c r="E32" s="104"/>
      <c r="F32" s="105"/>
      <c r="G32" s="105"/>
    </row>
    <row r="33" spans="1:7" ht="17.149999999999999" customHeight="1">
      <c r="A33" s="97" t="s">
        <v>336</v>
      </c>
      <c r="B33" s="97" t="s">
        <v>178</v>
      </c>
      <c r="C33" s="98"/>
      <c r="D33" s="99"/>
      <c r="E33" s="100"/>
      <c r="F33" s="100"/>
      <c r="G33" s="100"/>
    </row>
    <row r="34" spans="1:7" ht="17.149999999999999" customHeight="1">
      <c r="A34" s="101" t="s">
        <v>359</v>
      </c>
      <c r="B34" s="101" t="s">
        <v>180</v>
      </c>
      <c r="C34" s="102"/>
      <c r="D34" s="103" t="s">
        <v>135</v>
      </c>
      <c r="E34" s="104"/>
      <c r="F34" s="105"/>
      <c r="G34" s="105"/>
    </row>
    <row r="35" spans="1:7" ht="25.5" customHeight="1">
      <c r="A35" s="101" t="s">
        <v>360</v>
      </c>
      <c r="B35" s="101" t="s">
        <v>182</v>
      </c>
      <c r="C35" s="102"/>
      <c r="D35" s="103" t="s">
        <v>135</v>
      </c>
      <c r="E35" s="104"/>
      <c r="F35" s="105"/>
      <c r="G35" s="105"/>
    </row>
    <row r="36" spans="1:7" ht="17.149999999999999" customHeight="1">
      <c r="A36" s="101" t="s">
        <v>361</v>
      </c>
      <c r="B36" s="101" t="s">
        <v>184</v>
      </c>
      <c r="C36" s="102"/>
      <c r="D36" s="103" t="s">
        <v>135</v>
      </c>
      <c r="E36" s="104"/>
      <c r="F36" s="105"/>
      <c r="G36" s="105"/>
    </row>
    <row r="37" spans="1:7" ht="25" customHeight="1">
      <c r="A37" s="101" t="s">
        <v>362</v>
      </c>
      <c r="B37" s="101" t="s">
        <v>329</v>
      </c>
      <c r="C37" s="102"/>
      <c r="D37" s="103" t="s">
        <v>135</v>
      </c>
      <c r="E37" s="104"/>
      <c r="F37" s="105"/>
      <c r="G37" s="105"/>
    </row>
    <row r="38" spans="1:7" ht="25" customHeight="1">
      <c r="A38" s="97" t="s">
        <v>337</v>
      </c>
      <c r="B38" s="97" t="s">
        <v>187</v>
      </c>
      <c r="C38" s="98"/>
      <c r="D38" s="99"/>
      <c r="E38" s="100"/>
      <c r="F38" s="100"/>
      <c r="G38" s="100"/>
    </row>
    <row r="39" spans="1:7" ht="32.25" customHeight="1">
      <c r="A39" s="101" t="s">
        <v>363</v>
      </c>
      <c r="B39" s="117" t="s">
        <v>189</v>
      </c>
      <c r="C39" s="102"/>
      <c r="D39" s="103" t="s">
        <v>135</v>
      </c>
      <c r="E39" s="104"/>
      <c r="F39" s="105"/>
      <c r="G39" s="105"/>
    </row>
    <row r="40" spans="1:7" ht="17.149999999999999" customHeight="1">
      <c r="A40" s="101" t="s">
        <v>364</v>
      </c>
      <c r="B40" s="101" t="s">
        <v>191</v>
      </c>
      <c r="C40" s="102"/>
      <c r="D40" s="103" t="s">
        <v>135</v>
      </c>
      <c r="E40" s="104"/>
      <c r="F40" s="105"/>
      <c r="G40" s="105"/>
    </row>
    <row r="41" spans="1:7" ht="17.149999999999999" customHeight="1">
      <c r="A41" s="101" t="s">
        <v>365</v>
      </c>
      <c r="B41" s="101" t="s">
        <v>193</v>
      </c>
      <c r="C41" s="102"/>
      <c r="D41" s="103" t="s">
        <v>135</v>
      </c>
      <c r="E41" s="104"/>
      <c r="F41" s="105"/>
      <c r="G41" s="105"/>
    </row>
    <row r="42" spans="1:7" ht="17.149999999999999" customHeight="1">
      <c r="A42" s="101" t="s">
        <v>366</v>
      </c>
      <c r="B42" s="101" t="s">
        <v>195</v>
      </c>
      <c r="C42" s="102"/>
      <c r="D42" s="103" t="s">
        <v>135</v>
      </c>
      <c r="E42" s="104"/>
      <c r="F42" s="105"/>
      <c r="G42" s="105"/>
    </row>
    <row r="43" spans="1:7" ht="17.149999999999999" customHeight="1">
      <c r="A43" s="101" t="s">
        <v>367</v>
      </c>
      <c r="B43" s="101" t="s">
        <v>197</v>
      </c>
      <c r="C43" s="102"/>
      <c r="D43" s="103" t="s">
        <v>135</v>
      </c>
      <c r="E43" s="104"/>
      <c r="F43" s="105"/>
      <c r="G43" s="105"/>
    </row>
    <row r="44" spans="1:7" ht="17.149999999999999" customHeight="1">
      <c r="A44" s="101" t="s">
        <v>368</v>
      </c>
      <c r="B44" s="101" t="s">
        <v>199</v>
      </c>
      <c r="C44" s="102"/>
      <c r="D44" s="103" t="s">
        <v>135</v>
      </c>
      <c r="E44" s="104"/>
      <c r="F44" s="105"/>
      <c r="G44" s="105"/>
    </row>
    <row r="45" spans="1:7" ht="17.149999999999999" customHeight="1">
      <c r="A45" s="97" t="s">
        <v>369</v>
      </c>
      <c r="B45" s="97" t="s">
        <v>201</v>
      </c>
      <c r="C45" s="98"/>
      <c r="D45" s="99"/>
      <c r="E45" s="100"/>
      <c r="F45" s="100"/>
      <c r="G45" s="100"/>
    </row>
    <row r="46" spans="1:7" ht="17.149999999999999" customHeight="1">
      <c r="A46" s="101" t="s">
        <v>370</v>
      </c>
      <c r="B46" s="101" t="s">
        <v>203</v>
      </c>
      <c r="C46" s="102"/>
      <c r="D46" s="103" t="s">
        <v>135</v>
      </c>
      <c r="E46" s="104"/>
      <c r="F46" s="105"/>
      <c r="G46" s="105"/>
    </row>
    <row r="47" spans="1:7" ht="17.149999999999999" customHeight="1">
      <c r="A47" s="101" t="s">
        <v>371</v>
      </c>
      <c r="B47" s="101" t="s">
        <v>205</v>
      </c>
      <c r="C47" s="102"/>
      <c r="D47" s="103" t="s">
        <v>135</v>
      </c>
      <c r="E47" s="104"/>
      <c r="F47" s="105"/>
      <c r="G47" s="105"/>
    </row>
    <row r="48" spans="1:7" ht="17.149999999999999" customHeight="1">
      <c r="A48" s="111" t="s">
        <v>372</v>
      </c>
      <c r="B48" s="111" t="s">
        <v>207</v>
      </c>
      <c r="C48" s="112"/>
      <c r="D48" s="113"/>
      <c r="E48" s="114"/>
      <c r="F48" s="114"/>
      <c r="G48" s="114"/>
    </row>
    <row r="49" spans="1:7" ht="16.399999999999999" customHeight="1">
      <c r="A49" s="101" t="s">
        <v>373</v>
      </c>
      <c r="B49" s="101" t="s">
        <v>207</v>
      </c>
      <c r="C49" s="102"/>
      <c r="D49" s="103" t="s">
        <v>135</v>
      </c>
      <c r="E49" s="104"/>
      <c r="F49" s="105"/>
      <c r="G49" s="105"/>
    </row>
    <row r="50" spans="1:7" ht="17.149999999999999" customHeight="1">
      <c r="A50" s="101"/>
      <c r="B50" s="187" t="s">
        <v>128</v>
      </c>
      <c r="C50" s="188"/>
      <c r="D50" s="188"/>
      <c r="E50" s="188"/>
      <c r="F50" s="189"/>
      <c r="G50" s="123"/>
    </row>
    <row r="51" spans="1:7" ht="17.149999999999999" customHeight="1">
      <c r="A51" s="93" t="s">
        <v>374</v>
      </c>
      <c r="B51" s="93" t="s">
        <v>209</v>
      </c>
      <c r="C51" s="94"/>
      <c r="D51" s="95"/>
      <c r="E51" s="96"/>
      <c r="F51" s="96"/>
      <c r="G51" s="96"/>
    </row>
    <row r="52" spans="1:7" ht="25" customHeight="1">
      <c r="A52" s="97" t="s">
        <v>375</v>
      </c>
      <c r="B52" s="97" t="s">
        <v>211</v>
      </c>
      <c r="C52" s="98"/>
      <c r="D52" s="99"/>
      <c r="E52" s="100"/>
      <c r="F52" s="100"/>
      <c r="G52" s="100"/>
    </row>
    <row r="53" spans="1:7" ht="25" customHeight="1">
      <c r="A53" s="101" t="s">
        <v>376</v>
      </c>
      <c r="B53" s="117" t="s">
        <v>213</v>
      </c>
      <c r="C53" s="102"/>
      <c r="D53" s="103" t="s">
        <v>135</v>
      </c>
      <c r="E53" s="104"/>
      <c r="F53" s="105"/>
      <c r="G53" s="105"/>
    </row>
    <row r="54" spans="1:7" ht="17.149999999999999" customHeight="1">
      <c r="A54" s="101" t="s">
        <v>377</v>
      </c>
      <c r="B54" s="117" t="s">
        <v>215</v>
      </c>
      <c r="C54" s="102"/>
      <c r="D54" s="103" t="s">
        <v>135</v>
      </c>
      <c r="E54" s="104"/>
      <c r="F54" s="105"/>
      <c r="G54" s="105"/>
    </row>
    <row r="55" spans="1:7" ht="17.149999999999999" customHeight="1">
      <c r="A55" s="101" t="s">
        <v>378</v>
      </c>
      <c r="B55" s="117" t="s">
        <v>217</v>
      </c>
      <c r="C55" s="102"/>
      <c r="D55" s="103" t="s">
        <v>135</v>
      </c>
      <c r="E55" s="104"/>
      <c r="F55" s="105"/>
      <c r="G55" s="105"/>
    </row>
    <row r="56" spans="1:7" ht="17.149999999999999" customHeight="1">
      <c r="A56" s="101" t="s">
        <v>379</v>
      </c>
      <c r="B56" s="117" t="s">
        <v>219</v>
      </c>
      <c r="C56" s="102"/>
      <c r="D56" s="103" t="s">
        <v>135</v>
      </c>
      <c r="E56" s="104"/>
      <c r="F56" s="105"/>
      <c r="G56" s="105"/>
    </row>
    <row r="57" spans="1:7" ht="17.149999999999999" customHeight="1">
      <c r="A57" s="101" t="s">
        <v>380</v>
      </c>
      <c r="B57" s="117" t="s">
        <v>221</v>
      </c>
      <c r="C57" s="102"/>
      <c r="D57" s="103" t="s">
        <v>135</v>
      </c>
      <c r="E57" s="104"/>
      <c r="F57" s="105"/>
      <c r="G57" s="105"/>
    </row>
    <row r="58" spans="1:7" ht="17.149999999999999" customHeight="1">
      <c r="A58" s="101" t="s">
        <v>381</v>
      </c>
      <c r="B58" s="117" t="s">
        <v>223</v>
      </c>
      <c r="C58" s="102"/>
      <c r="D58" s="103" t="s">
        <v>135</v>
      </c>
      <c r="E58" s="104"/>
      <c r="F58" s="105"/>
      <c r="G58" s="105"/>
    </row>
    <row r="59" spans="1:7" ht="17.149999999999999" customHeight="1">
      <c r="A59" s="101" t="s">
        <v>382</v>
      </c>
      <c r="B59" s="117" t="s">
        <v>225</v>
      </c>
      <c r="C59" s="102"/>
      <c r="D59" s="103" t="s">
        <v>135</v>
      </c>
      <c r="E59" s="104"/>
      <c r="F59" s="105"/>
      <c r="G59" s="105"/>
    </row>
    <row r="60" spans="1:7" ht="17.149999999999999" customHeight="1">
      <c r="A60" s="101" t="s">
        <v>383</v>
      </c>
      <c r="B60" s="117" t="s">
        <v>227</v>
      </c>
      <c r="C60" s="102"/>
      <c r="D60" s="103" t="s">
        <v>135</v>
      </c>
      <c r="E60" s="104"/>
      <c r="F60" s="105"/>
      <c r="G60" s="105"/>
    </row>
    <row r="61" spans="1:7" ht="17.149999999999999" customHeight="1">
      <c r="A61" s="97" t="s">
        <v>384</v>
      </c>
      <c r="B61" s="97" t="s">
        <v>229</v>
      </c>
      <c r="C61" s="98"/>
      <c r="D61" s="99"/>
      <c r="E61" s="100"/>
      <c r="F61" s="100"/>
      <c r="G61" s="100"/>
    </row>
    <row r="62" spans="1:7" ht="17.149999999999999" customHeight="1">
      <c r="A62" s="101" t="s">
        <v>385</v>
      </c>
      <c r="B62" s="101" t="s">
        <v>231</v>
      </c>
      <c r="C62" s="102"/>
      <c r="D62" s="103" t="s">
        <v>135</v>
      </c>
      <c r="E62" s="104"/>
      <c r="F62" s="105"/>
      <c r="G62" s="105"/>
    </row>
    <row r="63" spans="1:7" ht="17.149999999999999" customHeight="1">
      <c r="A63" s="97" t="s">
        <v>386</v>
      </c>
      <c r="B63" s="97" t="s">
        <v>233</v>
      </c>
      <c r="C63" s="98"/>
      <c r="D63" s="99"/>
      <c r="E63" s="100"/>
      <c r="F63" s="100"/>
      <c r="G63" s="100"/>
    </row>
    <row r="64" spans="1:7" ht="16.399999999999999" customHeight="1">
      <c r="A64" s="107" t="s">
        <v>387</v>
      </c>
      <c r="B64" s="108" t="s">
        <v>235</v>
      </c>
      <c r="C64" s="102"/>
      <c r="D64" s="103"/>
      <c r="E64" s="104"/>
      <c r="F64" s="105"/>
      <c r="G64" s="105"/>
    </row>
    <row r="65" spans="1:8" ht="17.149999999999999" customHeight="1">
      <c r="A65" s="107" t="s">
        <v>388</v>
      </c>
      <c r="B65" s="107" t="s">
        <v>237</v>
      </c>
      <c r="C65" s="102"/>
      <c r="D65" s="103"/>
      <c r="E65" s="104"/>
      <c r="F65" s="105"/>
      <c r="G65" s="105"/>
    </row>
    <row r="66" spans="1:8" ht="72.5">
      <c r="A66" s="101" t="s">
        <v>389</v>
      </c>
      <c r="B66" s="150" t="s">
        <v>783</v>
      </c>
      <c r="C66" s="177"/>
      <c r="D66" s="103" t="s">
        <v>135</v>
      </c>
      <c r="E66" s="178"/>
      <c r="F66" s="178"/>
      <c r="G66" s="178"/>
      <c r="H66" s="91"/>
    </row>
    <row r="67" spans="1:8" ht="17.149999999999999" customHeight="1">
      <c r="A67" s="101" t="s">
        <v>390</v>
      </c>
      <c r="B67" s="101" t="s">
        <v>239</v>
      </c>
      <c r="C67" s="102"/>
      <c r="D67" s="103" t="s">
        <v>135</v>
      </c>
      <c r="E67" s="104"/>
      <c r="F67" s="105"/>
      <c r="G67" s="105"/>
    </row>
    <row r="68" spans="1:8" ht="17.149999999999999" customHeight="1">
      <c r="A68" s="101" t="s">
        <v>391</v>
      </c>
      <c r="B68" s="101" t="s">
        <v>241</v>
      </c>
      <c r="C68" s="102"/>
      <c r="D68" s="103" t="s">
        <v>135</v>
      </c>
      <c r="E68" s="104"/>
      <c r="F68" s="105"/>
      <c r="G68" s="105"/>
    </row>
    <row r="69" spans="1:8" ht="17.149999999999999" customHeight="1">
      <c r="A69" s="101" t="s">
        <v>392</v>
      </c>
      <c r="B69" s="101" t="s">
        <v>243</v>
      </c>
      <c r="C69" s="102"/>
      <c r="D69" s="103" t="s">
        <v>135</v>
      </c>
      <c r="E69" s="104"/>
      <c r="F69" s="105"/>
      <c r="G69" s="105"/>
    </row>
    <row r="70" spans="1:8" ht="17.149999999999999" customHeight="1">
      <c r="A70" s="101" t="s">
        <v>393</v>
      </c>
      <c r="B70" s="101" t="s">
        <v>245</v>
      </c>
      <c r="C70" s="102"/>
      <c r="D70" s="103" t="s">
        <v>135</v>
      </c>
      <c r="E70" s="104"/>
      <c r="F70" s="105"/>
      <c r="G70" s="105"/>
    </row>
    <row r="71" spans="1:8" ht="17.149999999999999" customHeight="1">
      <c r="A71" s="101" t="s">
        <v>394</v>
      </c>
      <c r="B71" s="101" t="s">
        <v>247</v>
      </c>
      <c r="C71" s="102"/>
      <c r="D71" s="103" t="s">
        <v>135</v>
      </c>
      <c r="E71" s="104"/>
      <c r="F71" s="105"/>
      <c r="G71" s="105"/>
    </row>
    <row r="72" spans="1:8" ht="16.399999999999999" customHeight="1">
      <c r="A72" s="101" t="s">
        <v>395</v>
      </c>
      <c r="B72" s="101" t="s">
        <v>249</v>
      </c>
      <c r="C72" s="102"/>
      <c r="D72" s="103" t="s">
        <v>135</v>
      </c>
      <c r="E72" s="104"/>
      <c r="F72" s="105"/>
      <c r="G72" s="105"/>
    </row>
    <row r="73" spans="1:8" ht="16.399999999999999" customHeight="1">
      <c r="A73" s="101" t="s">
        <v>396</v>
      </c>
      <c r="B73" s="101" t="s">
        <v>251</v>
      </c>
      <c r="C73" s="102"/>
      <c r="D73" s="103" t="s">
        <v>135</v>
      </c>
      <c r="E73" s="104"/>
      <c r="F73" s="105"/>
      <c r="G73" s="105"/>
    </row>
    <row r="74" spans="1:8" ht="16.399999999999999" customHeight="1">
      <c r="A74" s="101" t="s">
        <v>397</v>
      </c>
      <c r="B74" s="101" t="s">
        <v>253</v>
      </c>
      <c r="C74" s="102"/>
      <c r="D74" s="103" t="s">
        <v>135</v>
      </c>
      <c r="E74" s="104"/>
      <c r="F74" s="105"/>
      <c r="G74" s="105"/>
    </row>
    <row r="75" spans="1:8" ht="16.399999999999999" customHeight="1">
      <c r="A75" s="107" t="s">
        <v>398</v>
      </c>
      <c r="B75" s="107" t="s">
        <v>256</v>
      </c>
      <c r="C75" s="102"/>
      <c r="D75" s="103"/>
      <c r="E75" s="104"/>
      <c r="F75" s="105"/>
      <c r="G75" s="105"/>
    </row>
    <row r="76" spans="1:8" ht="16.399999999999999" customHeight="1">
      <c r="A76" s="101" t="s">
        <v>399</v>
      </c>
      <c r="B76" s="101" t="s">
        <v>247</v>
      </c>
      <c r="C76" s="102"/>
      <c r="D76" s="103" t="s">
        <v>135</v>
      </c>
      <c r="E76" s="104"/>
      <c r="F76" s="105"/>
      <c r="G76" s="105"/>
    </row>
    <row r="77" spans="1:8" ht="16.399999999999999" customHeight="1">
      <c r="A77" s="101" t="s">
        <v>400</v>
      </c>
      <c r="B77" s="101" t="s">
        <v>259</v>
      </c>
      <c r="C77" s="102"/>
      <c r="D77" s="103" t="s">
        <v>135</v>
      </c>
      <c r="E77" s="104"/>
      <c r="F77" s="105"/>
      <c r="G77" s="105"/>
    </row>
    <row r="78" spans="1:8" ht="16.399999999999999" customHeight="1">
      <c r="A78" s="107" t="s">
        <v>401</v>
      </c>
      <c r="B78" s="107" t="s">
        <v>261</v>
      </c>
      <c r="C78" s="102"/>
      <c r="D78" s="103"/>
      <c r="E78" s="104"/>
      <c r="F78" s="105"/>
      <c r="G78" s="105"/>
    </row>
    <row r="79" spans="1:8" ht="16.399999999999999" customHeight="1">
      <c r="A79" s="101" t="s">
        <v>402</v>
      </c>
      <c r="B79" s="101" t="s">
        <v>247</v>
      </c>
      <c r="C79" s="102"/>
      <c r="D79" s="103" t="s">
        <v>135</v>
      </c>
      <c r="E79" s="104"/>
      <c r="F79" s="105"/>
      <c r="G79" s="105"/>
    </row>
    <row r="80" spans="1:8" ht="16.399999999999999" customHeight="1">
      <c r="A80" s="107" t="s">
        <v>403</v>
      </c>
      <c r="B80" s="107" t="s">
        <v>264</v>
      </c>
      <c r="C80" s="102"/>
      <c r="D80" s="103"/>
      <c r="E80" s="104"/>
      <c r="F80" s="105"/>
      <c r="G80" s="105"/>
    </row>
    <row r="81" spans="1:8" ht="16.399999999999999" customHeight="1">
      <c r="A81" s="101" t="s">
        <v>404</v>
      </c>
      <c r="B81" s="101" t="s">
        <v>247</v>
      </c>
      <c r="C81" s="102"/>
      <c r="D81" s="103" t="s">
        <v>135</v>
      </c>
      <c r="E81" s="104"/>
      <c r="F81" s="105"/>
      <c r="G81" s="105"/>
    </row>
    <row r="82" spans="1:8" ht="16.399999999999999" customHeight="1">
      <c r="A82" s="107" t="s">
        <v>405</v>
      </c>
      <c r="B82" s="107" t="s">
        <v>267</v>
      </c>
      <c r="C82" s="102"/>
      <c r="D82" s="103"/>
      <c r="E82" s="104"/>
      <c r="F82" s="105"/>
      <c r="G82" s="105"/>
    </row>
    <row r="83" spans="1:8" ht="16.399999999999999" customHeight="1">
      <c r="A83" s="101" t="s">
        <v>406</v>
      </c>
      <c r="B83" s="101" t="s">
        <v>253</v>
      </c>
      <c r="C83" s="102"/>
      <c r="D83" s="103" t="s">
        <v>135</v>
      </c>
      <c r="E83" s="104"/>
      <c r="F83" s="105"/>
      <c r="G83" s="105"/>
    </row>
    <row r="84" spans="1:8" ht="16.399999999999999" customHeight="1">
      <c r="A84" s="97" t="s">
        <v>407</v>
      </c>
      <c r="B84" s="97" t="s">
        <v>270</v>
      </c>
      <c r="C84" s="98"/>
      <c r="D84" s="99"/>
      <c r="E84" s="100"/>
      <c r="F84" s="100"/>
      <c r="G84" s="100"/>
    </row>
    <row r="85" spans="1:8" ht="15.75" customHeight="1">
      <c r="A85" s="101" t="s">
        <v>408</v>
      </c>
      <c r="B85" s="101" t="s">
        <v>272</v>
      </c>
      <c r="C85" s="102"/>
      <c r="D85" s="103" t="s">
        <v>135</v>
      </c>
      <c r="E85" s="104"/>
      <c r="F85" s="105"/>
      <c r="G85" s="105"/>
    </row>
    <row r="86" spans="1:8" ht="24" customHeight="1">
      <c r="A86" s="97" t="s">
        <v>409</v>
      </c>
      <c r="B86" s="97" t="s">
        <v>274</v>
      </c>
      <c r="C86" s="98"/>
      <c r="D86" s="99"/>
      <c r="E86" s="100"/>
      <c r="F86" s="100"/>
      <c r="G86" s="100"/>
    </row>
    <row r="87" spans="1:8" ht="25" customHeight="1">
      <c r="A87" s="101" t="s">
        <v>410</v>
      </c>
      <c r="B87" s="101" t="s">
        <v>276</v>
      </c>
      <c r="C87" s="102"/>
      <c r="D87" s="103" t="s">
        <v>135</v>
      </c>
      <c r="E87" s="104"/>
      <c r="F87" s="105"/>
      <c r="G87" s="105"/>
    </row>
    <row r="88" spans="1:8" ht="15.75" customHeight="1">
      <c r="A88" s="101" t="s">
        <v>411</v>
      </c>
      <c r="B88" s="101" t="s">
        <v>278</v>
      </c>
      <c r="C88" s="102"/>
      <c r="D88" s="103" t="s">
        <v>135</v>
      </c>
      <c r="E88" s="104"/>
      <c r="F88" s="105"/>
      <c r="G88" s="105"/>
    </row>
    <row r="89" spans="1:8" ht="15.75" customHeight="1">
      <c r="A89" s="101" t="s">
        <v>412</v>
      </c>
      <c r="B89" s="101" t="s">
        <v>280</v>
      </c>
      <c r="C89" s="102"/>
      <c r="D89" s="103" t="s">
        <v>135</v>
      </c>
      <c r="E89" s="104"/>
      <c r="F89" s="105"/>
      <c r="G89" s="105"/>
    </row>
    <row r="90" spans="1:8" ht="15.75" customHeight="1">
      <c r="A90" s="101" t="s">
        <v>413</v>
      </c>
      <c r="B90" s="101" t="s">
        <v>282</v>
      </c>
      <c r="C90" s="102"/>
      <c r="D90" s="103" t="s">
        <v>135</v>
      </c>
      <c r="E90" s="104"/>
      <c r="F90" s="105"/>
      <c r="G90" s="105"/>
    </row>
    <row r="91" spans="1:8" ht="15.75" customHeight="1">
      <c r="A91" s="101" t="s">
        <v>414</v>
      </c>
      <c r="B91" s="101" t="s">
        <v>284</v>
      </c>
      <c r="C91" s="102"/>
      <c r="D91" s="103" t="s">
        <v>135</v>
      </c>
      <c r="E91" s="104"/>
      <c r="F91" s="105"/>
      <c r="G91" s="105"/>
    </row>
    <row r="92" spans="1:8" ht="15.75" customHeight="1">
      <c r="A92" s="101" t="s">
        <v>415</v>
      </c>
      <c r="B92" s="101" t="s">
        <v>286</v>
      </c>
      <c r="C92" s="102"/>
      <c r="D92" s="103" t="s">
        <v>135</v>
      </c>
      <c r="E92" s="104"/>
      <c r="F92" s="105"/>
      <c r="G92" s="105"/>
    </row>
    <row r="93" spans="1:8" ht="15.75" customHeight="1">
      <c r="A93" s="175" t="s">
        <v>784</v>
      </c>
      <c r="B93" s="101" t="s">
        <v>785</v>
      </c>
      <c r="C93" s="102"/>
      <c r="D93" s="103" t="s">
        <v>135</v>
      </c>
      <c r="E93" s="104"/>
      <c r="F93" s="105"/>
      <c r="G93" s="104"/>
      <c r="H93" s="91"/>
    </row>
    <row r="94" spans="1:8" ht="15.75" customHeight="1">
      <c r="A94" s="97" t="s">
        <v>416</v>
      </c>
      <c r="B94" s="97" t="s">
        <v>288</v>
      </c>
      <c r="C94" s="98"/>
      <c r="D94" s="99"/>
      <c r="E94" s="100"/>
      <c r="F94" s="100"/>
      <c r="G94" s="100"/>
    </row>
    <row r="95" spans="1:8" ht="15.75" customHeight="1">
      <c r="A95" s="101" t="s">
        <v>417</v>
      </c>
      <c r="B95" s="101" t="s">
        <v>290</v>
      </c>
      <c r="C95" s="102"/>
      <c r="D95" s="103" t="s">
        <v>135</v>
      </c>
      <c r="E95" s="104"/>
      <c r="F95" s="105"/>
      <c r="G95" s="105"/>
    </row>
    <row r="96" spans="1:8" ht="15.75" customHeight="1">
      <c r="A96" s="101" t="s">
        <v>418</v>
      </c>
      <c r="B96" s="101" t="s">
        <v>292</v>
      </c>
      <c r="C96" s="102"/>
      <c r="D96" s="103" t="s">
        <v>135</v>
      </c>
      <c r="E96" s="104"/>
      <c r="F96" s="105"/>
      <c r="G96" s="105"/>
    </row>
    <row r="97" spans="1:7" ht="15.75" customHeight="1">
      <c r="A97" s="101" t="s">
        <v>419</v>
      </c>
      <c r="B97" s="101" t="s">
        <v>782</v>
      </c>
      <c r="C97" s="102"/>
      <c r="D97" s="103" t="s">
        <v>135</v>
      </c>
      <c r="E97" s="104"/>
      <c r="F97" s="105"/>
      <c r="G97" s="105"/>
    </row>
    <row r="98" spans="1:7" ht="15.75" customHeight="1">
      <c r="A98" s="101" t="s">
        <v>420</v>
      </c>
      <c r="B98" s="101" t="s">
        <v>295</v>
      </c>
      <c r="C98" s="102"/>
      <c r="D98" s="103" t="s">
        <v>135</v>
      </c>
      <c r="E98" s="104"/>
      <c r="F98" s="105"/>
      <c r="G98" s="105"/>
    </row>
    <row r="99" spans="1:7" ht="15.75" customHeight="1">
      <c r="A99" s="97" t="s">
        <v>421</v>
      </c>
      <c r="B99" s="97" t="s">
        <v>790</v>
      </c>
      <c r="C99" s="98"/>
      <c r="D99" s="99"/>
      <c r="E99" s="100"/>
      <c r="F99" s="100"/>
      <c r="G99" s="100"/>
    </row>
    <row r="100" spans="1:7" ht="24" customHeight="1">
      <c r="A100" s="101" t="s">
        <v>422</v>
      </c>
      <c r="B100" s="101" t="s">
        <v>789</v>
      </c>
      <c r="C100" s="102"/>
      <c r="D100" s="103" t="s">
        <v>135</v>
      </c>
      <c r="E100" s="104"/>
      <c r="F100" s="105"/>
      <c r="G100" s="105"/>
    </row>
    <row r="101" spans="1:7" ht="15.75" customHeight="1">
      <c r="A101" s="97" t="s">
        <v>298</v>
      </c>
      <c r="B101" s="97" t="s">
        <v>207</v>
      </c>
      <c r="C101" s="98"/>
      <c r="D101" s="99"/>
      <c r="E101" s="100"/>
      <c r="F101" s="100"/>
      <c r="G101" s="100"/>
    </row>
    <row r="102" spans="1:7" ht="24" customHeight="1">
      <c r="A102" s="101" t="s">
        <v>423</v>
      </c>
      <c r="B102" s="101" t="s">
        <v>207</v>
      </c>
      <c r="C102" s="102"/>
      <c r="D102" s="103" t="s">
        <v>135</v>
      </c>
      <c r="E102" s="104"/>
      <c r="F102" s="105"/>
      <c r="G102" s="105"/>
    </row>
    <row r="103" spans="1:7" ht="24" customHeight="1">
      <c r="A103" s="101"/>
      <c r="B103" s="187" t="s">
        <v>41</v>
      </c>
      <c r="C103" s="188"/>
      <c r="D103" s="188"/>
      <c r="E103" s="188"/>
      <c r="F103" s="189"/>
      <c r="G103" s="123"/>
    </row>
    <row r="104" spans="1:7" ht="24" customHeight="1">
      <c r="A104" s="93" t="s">
        <v>424</v>
      </c>
      <c r="B104" s="93" t="s">
        <v>301</v>
      </c>
      <c r="C104" s="94"/>
      <c r="D104" s="95"/>
      <c r="E104" s="96"/>
      <c r="F104" s="96"/>
      <c r="G104" s="96"/>
    </row>
    <row r="105" spans="1:7" ht="24" customHeight="1">
      <c r="A105" s="124" t="s">
        <v>425</v>
      </c>
      <c r="B105" s="101" t="s">
        <v>303</v>
      </c>
      <c r="C105" s="109"/>
      <c r="D105" s="103" t="s">
        <v>304</v>
      </c>
      <c r="E105" s="109"/>
      <c r="F105" s="109"/>
      <c r="G105" s="109"/>
    </row>
    <row r="106" spans="1:7" ht="24" customHeight="1">
      <c r="A106" s="124" t="s">
        <v>426</v>
      </c>
      <c r="B106" s="101" t="s">
        <v>306</v>
      </c>
      <c r="C106" s="109"/>
      <c r="D106" s="103" t="s">
        <v>304</v>
      </c>
      <c r="E106" s="109"/>
      <c r="F106" s="109"/>
      <c r="G106" s="109"/>
    </row>
    <row r="107" spans="1:7" ht="24" customHeight="1">
      <c r="A107" s="124" t="s">
        <v>427</v>
      </c>
      <c r="B107" s="101" t="s">
        <v>308</v>
      </c>
      <c r="C107" s="109"/>
      <c r="D107" s="103" t="s">
        <v>309</v>
      </c>
      <c r="E107" s="109"/>
      <c r="F107" s="109"/>
      <c r="G107" s="109"/>
    </row>
    <row r="108" spans="1:7" ht="24.75" customHeight="1">
      <c r="A108" s="124" t="s">
        <v>428</v>
      </c>
      <c r="B108" s="101" t="s">
        <v>311</v>
      </c>
      <c r="C108" s="109"/>
      <c r="D108" s="103" t="s">
        <v>304</v>
      </c>
      <c r="E108" s="109"/>
      <c r="F108" s="109"/>
      <c r="G108" s="109"/>
    </row>
    <row r="109" spans="1:7" ht="24.75" customHeight="1">
      <c r="A109" s="124" t="s">
        <v>429</v>
      </c>
      <c r="B109" s="101" t="s">
        <v>313</v>
      </c>
      <c r="C109" s="109"/>
      <c r="D109" s="103" t="s">
        <v>309</v>
      </c>
      <c r="E109" s="109"/>
      <c r="F109" s="109"/>
      <c r="G109" s="109"/>
    </row>
    <row r="110" spans="1:7" ht="24.75" customHeight="1">
      <c r="A110" s="124" t="s">
        <v>430</v>
      </c>
      <c r="B110" s="101" t="s">
        <v>315</v>
      </c>
      <c r="C110" s="109"/>
      <c r="D110" s="103" t="s">
        <v>51</v>
      </c>
      <c r="E110" s="109"/>
      <c r="F110" s="109"/>
      <c r="G110" s="109"/>
    </row>
    <row r="111" spans="1:7" ht="24.75" customHeight="1">
      <c r="A111" s="124" t="s">
        <v>431</v>
      </c>
      <c r="B111" s="101" t="s">
        <v>317</v>
      </c>
      <c r="C111" s="109"/>
      <c r="D111" s="103" t="s">
        <v>304</v>
      </c>
      <c r="E111" s="109"/>
      <c r="F111" s="109"/>
      <c r="G111" s="109"/>
    </row>
    <row r="112" spans="1:7" ht="24.75" customHeight="1">
      <c r="A112" s="124" t="s">
        <v>432</v>
      </c>
      <c r="B112" s="101" t="s">
        <v>319</v>
      </c>
      <c r="C112" s="109"/>
      <c r="D112" s="103" t="s">
        <v>304</v>
      </c>
      <c r="E112" s="109"/>
      <c r="F112" s="109"/>
      <c r="G112" s="109"/>
    </row>
    <row r="113" spans="1:7" ht="14.5">
      <c r="A113" s="124" t="s">
        <v>433</v>
      </c>
      <c r="B113" s="101" t="s">
        <v>321</v>
      </c>
      <c r="C113" s="109"/>
      <c r="D113" s="103" t="s">
        <v>322</v>
      </c>
      <c r="E113" s="109"/>
      <c r="F113" s="109"/>
      <c r="G113" s="109"/>
    </row>
    <row r="114" spans="1:7" ht="14.5">
      <c r="A114" s="124" t="s">
        <v>434</v>
      </c>
      <c r="B114" s="101" t="s">
        <v>324</v>
      </c>
      <c r="C114" s="109"/>
      <c r="D114" s="103" t="s">
        <v>304</v>
      </c>
      <c r="E114" s="109"/>
      <c r="F114" s="109"/>
      <c r="G114" s="109"/>
    </row>
    <row r="115" spans="1:7" ht="14.5">
      <c r="A115" s="124" t="s">
        <v>435</v>
      </c>
      <c r="B115" s="101" t="s">
        <v>326</v>
      </c>
      <c r="C115" s="109"/>
      <c r="D115" s="103" t="s">
        <v>304</v>
      </c>
      <c r="E115" s="109"/>
      <c r="F115" s="109"/>
      <c r="G115" s="109"/>
    </row>
    <row r="116" spans="1:7" ht="14.5">
      <c r="A116" s="101"/>
      <c r="B116" s="187" t="s">
        <v>42</v>
      </c>
      <c r="C116" s="188"/>
      <c r="D116" s="188"/>
      <c r="E116" s="188"/>
      <c r="F116" s="189"/>
      <c r="G116" s="123"/>
    </row>
    <row r="117" spans="1:7" ht="14.5">
      <c r="A117" s="93" t="s">
        <v>35</v>
      </c>
      <c r="B117" s="93" t="s">
        <v>1</v>
      </c>
      <c r="C117" s="94"/>
      <c r="D117" s="95"/>
      <c r="E117" s="96"/>
      <c r="F117" s="96"/>
      <c r="G117" s="96"/>
    </row>
    <row r="118" spans="1:7" ht="14.5">
      <c r="A118" s="125" t="s">
        <v>36</v>
      </c>
      <c r="B118" s="110" t="s">
        <v>2</v>
      </c>
      <c r="C118" s="109"/>
      <c r="D118" s="109"/>
      <c r="E118" s="109"/>
      <c r="F118" s="119"/>
      <c r="G118" s="119"/>
    </row>
    <row r="119" spans="1:7" ht="14.5">
      <c r="A119" s="125" t="s">
        <v>37</v>
      </c>
      <c r="B119" s="110" t="s">
        <v>3</v>
      </c>
      <c r="C119" s="109"/>
      <c r="D119" s="109"/>
      <c r="E119" s="109"/>
      <c r="F119" s="119"/>
      <c r="G119" s="119"/>
    </row>
    <row r="120" spans="1:7" ht="24" customHeight="1">
      <c r="A120" s="125" t="s">
        <v>38</v>
      </c>
      <c r="B120" s="110" t="s">
        <v>4</v>
      </c>
      <c r="C120" s="109"/>
      <c r="D120" s="109"/>
      <c r="E120" s="109"/>
      <c r="F120" s="119"/>
      <c r="G120" s="119"/>
    </row>
    <row r="121" spans="1:7" ht="24" customHeight="1">
      <c r="A121" s="125" t="s">
        <v>39</v>
      </c>
      <c r="B121" s="110" t="s">
        <v>5</v>
      </c>
      <c r="C121" s="109"/>
      <c r="D121" s="109"/>
      <c r="E121" s="109"/>
      <c r="F121" s="119"/>
      <c r="G121" s="119"/>
    </row>
    <row r="122" spans="1:7" ht="14.5">
      <c r="A122" s="125" t="s">
        <v>40</v>
      </c>
      <c r="B122" s="110" t="s">
        <v>6</v>
      </c>
      <c r="C122" s="109"/>
      <c r="D122" s="109"/>
      <c r="E122" s="109"/>
      <c r="F122" s="119"/>
      <c r="G122" s="119"/>
    </row>
    <row r="123" spans="1:7" ht="24" customHeight="1">
      <c r="A123" s="101"/>
      <c r="B123" s="184" t="s">
        <v>43</v>
      </c>
      <c r="C123" s="184"/>
      <c r="D123" s="184"/>
      <c r="E123" s="184"/>
      <c r="F123" s="184"/>
      <c r="G123" s="123"/>
    </row>
    <row r="124" spans="1:7" ht="17.25" customHeight="1"/>
    <row r="125" spans="1:7" ht="17.25" customHeight="1">
      <c r="A125" s="121" t="s">
        <v>128</v>
      </c>
      <c r="B125" s="121"/>
      <c r="C125" s="121"/>
      <c r="D125" s="121"/>
      <c r="E125" s="121"/>
      <c r="F125" s="122"/>
      <c r="G125" s="58"/>
    </row>
    <row r="126" spans="1:7" ht="17.25" customHeight="1">
      <c r="A126" s="121" t="s">
        <v>41</v>
      </c>
      <c r="B126" s="121"/>
      <c r="C126" s="121"/>
      <c r="D126" s="121"/>
      <c r="E126" s="121"/>
      <c r="F126" s="122"/>
      <c r="G126" s="58"/>
    </row>
    <row r="127" spans="1:7" ht="14.5">
      <c r="A127" s="121" t="s">
        <v>42</v>
      </c>
      <c r="B127" s="121"/>
      <c r="C127" s="121"/>
      <c r="D127" s="121"/>
      <c r="E127" s="121"/>
      <c r="F127" s="122"/>
      <c r="G127" s="58"/>
    </row>
    <row r="128" spans="1:7" ht="14.5">
      <c r="A128" s="121" t="s">
        <v>43</v>
      </c>
      <c r="B128" s="121"/>
      <c r="C128" s="121"/>
      <c r="D128" s="121"/>
      <c r="E128" s="121"/>
      <c r="F128" s="122"/>
      <c r="G128" s="58"/>
    </row>
    <row r="129" spans="1:7" ht="14.5">
      <c r="A129" s="121" t="s">
        <v>25</v>
      </c>
      <c r="B129" s="121"/>
      <c r="C129" s="121"/>
      <c r="D129" s="121"/>
      <c r="E129" s="121"/>
      <c r="F129" s="122"/>
      <c r="G129" s="123"/>
    </row>
  </sheetData>
  <autoFilter ref="A1:G126" xr:uid="{00000000-0009-0000-0000-000001000000}"/>
  <mergeCells count="7">
    <mergeCell ref="B50:F50"/>
    <mergeCell ref="B103:F103"/>
    <mergeCell ref="B116:F116"/>
    <mergeCell ref="B123:F123"/>
    <mergeCell ref="D4:D6"/>
    <mergeCell ref="E4:E6"/>
    <mergeCell ref="C4:C6"/>
  </mergeCells>
  <phoneticPr fontId="46" type="noConversion"/>
  <printOptions horizontalCentered="1"/>
  <pageMargins left="0.31496062992125984" right="0.31496062992125984" top="0.51181102362204722" bottom="0.59055118110236227" header="0.31496062992125984" footer="0.31496062992125984"/>
  <pageSetup paperSize="9" scale="95" fitToHeight="0" orientation="landscape" r:id="rId1"/>
  <headerFooter>
    <oddHeader>&amp;LBordereaux des prix</oddHeader>
    <oddFooter>&amp;L&amp;"Calibri,Normal"STEP Abdelmoumen – Marché n° SP 95556 P4 (Appel d’Offres n° SP 457 747)&amp;R&amp;"Calibri,Normal"Page &amp;P/&amp;N</oddFooter>
  </headerFooter>
  <rowBreaks count="2" manualBreakCount="2">
    <brk id="27" max="6" man="1"/>
    <brk id="89"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V23"/>
  <sheetViews>
    <sheetView topLeftCell="A4" zoomScale="130" zoomScaleNormal="130" zoomScaleSheetLayoutView="90" workbookViewId="0">
      <selection activeCell="A14" sqref="A14:V14"/>
    </sheetView>
  </sheetViews>
  <sheetFormatPr baseColWidth="10" defaultColWidth="11.54296875" defaultRowHeight="12.5" outlineLevelCol="1"/>
  <cols>
    <col min="1" max="1" width="7.54296875" customWidth="1"/>
    <col min="3" max="3" width="6.453125" customWidth="1"/>
    <col min="4" max="4" width="28.7265625" customWidth="1"/>
    <col min="5" max="5" width="5.81640625" customWidth="1"/>
    <col min="6" max="6" width="18.7265625" customWidth="1"/>
    <col min="7" max="7" width="10.26953125" customWidth="1"/>
    <col min="8" max="8" width="9.26953125" customWidth="1"/>
    <col min="9" max="9" width="11.54296875" hidden="1" customWidth="1" outlineLevel="1"/>
    <col min="10" max="11" width="13.1796875" hidden="1" customWidth="1" outlineLevel="1"/>
    <col min="12" max="12" width="14.453125" hidden="1" customWidth="1" outlineLevel="1"/>
    <col min="13" max="13" width="16.7265625" hidden="1" customWidth="1" outlineLevel="1"/>
    <col min="14" max="14" width="15.1796875" hidden="1" customWidth="1" outlineLevel="1"/>
    <col min="15" max="15" width="15.81640625" hidden="1" customWidth="1" outlineLevel="1"/>
    <col min="16" max="16" width="13.1796875" hidden="1" customWidth="1" outlineLevel="1"/>
    <col min="17" max="17" width="17.54296875" customWidth="1" collapsed="1"/>
    <col min="18" max="18" width="16" customWidth="1"/>
    <col min="19" max="19" width="17.54296875" customWidth="1"/>
    <col min="20" max="20" width="16.54296875" customWidth="1"/>
    <col min="21" max="21" width="18.26953125" bestFit="1" customWidth="1"/>
    <col min="22" max="22" width="14.1796875" bestFit="1" customWidth="1"/>
  </cols>
  <sheetData>
    <row r="2" spans="1:22" ht="14.5">
      <c r="A2" s="13" t="s">
        <v>44</v>
      </c>
      <c r="I2" s="34" t="s">
        <v>117</v>
      </c>
      <c r="J2" s="34"/>
      <c r="K2" s="36" t="s">
        <v>118</v>
      </c>
      <c r="L2" s="28"/>
      <c r="M2" s="35" t="s">
        <v>119</v>
      </c>
      <c r="N2" s="43"/>
      <c r="O2" s="42" t="s">
        <v>120</v>
      </c>
      <c r="P2" s="29"/>
    </row>
    <row r="4" spans="1:22" ht="17.25" customHeight="1">
      <c r="A4" s="181" t="s">
        <v>0</v>
      </c>
      <c r="B4" s="191" t="s">
        <v>46</v>
      </c>
      <c r="C4" s="192"/>
      <c r="D4" s="192"/>
      <c r="E4" s="192"/>
      <c r="F4" s="193"/>
      <c r="G4" s="89" t="s">
        <v>9</v>
      </c>
      <c r="H4" s="89" t="s">
        <v>47</v>
      </c>
      <c r="I4" s="39" t="s">
        <v>122</v>
      </c>
      <c r="J4" s="37"/>
      <c r="K4" s="39" t="s">
        <v>122</v>
      </c>
      <c r="L4" s="37"/>
      <c r="M4" s="39" t="s">
        <v>122</v>
      </c>
      <c r="N4" s="37"/>
      <c r="O4" s="39" t="s">
        <v>122</v>
      </c>
      <c r="P4" s="37"/>
      <c r="Q4" s="190" t="s">
        <v>122</v>
      </c>
      <c r="R4" s="190"/>
      <c r="S4" s="190"/>
      <c r="T4" s="190" t="s">
        <v>107</v>
      </c>
      <c r="U4" s="190"/>
      <c r="V4" s="190"/>
    </row>
    <row r="5" spans="1:22" ht="43.5">
      <c r="A5" s="182"/>
      <c r="B5" s="194"/>
      <c r="C5" s="195"/>
      <c r="D5" s="195"/>
      <c r="E5" s="195"/>
      <c r="F5" s="196"/>
      <c r="G5" s="89"/>
      <c r="H5" s="89"/>
      <c r="I5" s="7" t="s">
        <v>48</v>
      </c>
      <c r="J5" s="7" t="s">
        <v>49</v>
      </c>
      <c r="K5" s="7" t="s">
        <v>48</v>
      </c>
      <c r="L5" s="7" t="s">
        <v>49</v>
      </c>
      <c r="M5" s="7" t="s">
        <v>48</v>
      </c>
      <c r="N5" s="7" t="s">
        <v>49</v>
      </c>
      <c r="O5" s="7" t="s">
        <v>124</v>
      </c>
      <c r="P5" s="7" t="s">
        <v>49</v>
      </c>
      <c r="Q5" s="89" t="s">
        <v>28</v>
      </c>
      <c r="R5" s="89" t="s">
        <v>439</v>
      </c>
      <c r="S5" s="89" t="s">
        <v>444</v>
      </c>
      <c r="T5" s="8" t="s">
        <v>28</v>
      </c>
      <c r="U5" s="89" t="s">
        <v>439</v>
      </c>
      <c r="V5" s="89" t="s">
        <v>444</v>
      </c>
    </row>
    <row r="6" spans="1:22" ht="15" customHeight="1">
      <c r="A6" s="183"/>
      <c r="B6" s="197"/>
      <c r="C6" s="198"/>
      <c r="D6" s="198"/>
      <c r="E6" s="198"/>
      <c r="F6" s="199"/>
      <c r="G6" s="127" t="s">
        <v>16</v>
      </c>
      <c r="H6" s="127"/>
      <c r="I6" s="9" t="s">
        <v>17</v>
      </c>
      <c r="J6" s="9" t="s">
        <v>62</v>
      </c>
      <c r="K6" s="9" t="s">
        <v>17</v>
      </c>
      <c r="L6" s="9" t="s">
        <v>62</v>
      </c>
      <c r="M6" s="9" t="s">
        <v>17</v>
      </c>
      <c r="N6" s="9" t="s">
        <v>62</v>
      </c>
      <c r="O6" s="9" t="s">
        <v>17</v>
      </c>
      <c r="P6" s="9" t="s">
        <v>62</v>
      </c>
      <c r="Q6" s="127" t="s">
        <v>17</v>
      </c>
      <c r="R6" s="127" t="s">
        <v>62</v>
      </c>
      <c r="S6" s="127" t="s">
        <v>445</v>
      </c>
      <c r="T6" s="127" t="s">
        <v>11</v>
      </c>
      <c r="U6" s="9" t="s">
        <v>50</v>
      </c>
      <c r="V6" s="9" t="s">
        <v>446</v>
      </c>
    </row>
    <row r="7" spans="1:22" ht="24.75" customHeight="1">
      <c r="A7" s="31" t="s">
        <v>56</v>
      </c>
      <c r="B7" s="200" t="s">
        <v>52</v>
      </c>
      <c r="C7" s="201"/>
      <c r="D7" s="201"/>
      <c r="E7" s="201"/>
      <c r="F7" s="202"/>
      <c r="G7" s="32">
        <v>1</v>
      </c>
      <c r="H7" s="32" t="s">
        <v>51</v>
      </c>
      <c r="I7" s="11"/>
      <c r="J7" s="41"/>
      <c r="K7" s="41"/>
      <c r="L7" s="41"/>
      <c r="M7" s="26"/>
      <c r="N7" s="33"/>
      <c r="O7" s="41"/>
      <c r="P7" s="41"/>
      <c r="Q7" s="52"/>
      <c r="R7" s="52"/>
      <c r="S7" s="52"/>
      <c r="T7" s="52"/>
      <c r="U7" s="52"/>
      <c r="V7" s="52"/>
    </row>
    <row r="8" spans="1:22" ht="24.75" customHeight="1">
      <c r="A8" s="27" t="s">
        <v>121</v>
      </c>
      <c r="B8" s="200" t="s">
        <v>436</v>
      </c>
      <c r="C8" s="201"/>
      <c r="D8" s="201"/>
      <c r="E8" s="201"/>
      <c r="F8" s="202"/>
      <c r="G8" s="24">
        <v>1</v>
      </c>
      <c r="H8" s="24" t="s">
        <v>51</v>
      </c>
      <c r="I8" s="10"/>
      <c r="J8" s="38"/>
      <c r="K8" s="19"/>
      <c r="L8" s="38"/>
      <c r="M8" s="19"/>
      <c r="N8" s="38"/>
      <c r="O8" s="19"/>
      <c r="P8" s="38"/>
      <c r="Q8" s="53"/>
      <c r="R8" s="53"/>
      <c r="S8" s="53"/>
      <c r="T8" s="53"/>
      <c r="U8" s="53"/>
      <c r="V8" s="53"/>
    </row>
    <row r="9" spans="1:22" ht="25.5" customHeight="1">
      <c r="A9" s="31" t="s">
        <v>57</v>
      </c>
      <c r="B9" s="200" t="s">
        <v>437</v>
      </c>
      <c r="C9" s="201"/>
      <c r="D9" s="201"/>
      <c r="E9" s="201"/>
      <c r="F9" s="202"/>
      <c r="G9" s="11">
        <v>1</v>
      </c>
      <c r="H9" s="11" t="s">
        <v>51</v>
      </c>
      <c r="I9" s="11"/>
      <c r="J9" s="40"/>
      <c r="K9" s="41"/>
      <c r="L9" s="40"/>
      <c r="M9" s="41"/>
      <c r="N9" s="30"/>
      <c r="O9" s="41"/>
      <c r="P9" s="30"/>
      <c r="Q9" s="54"/>
      <c r="R9" s="54"/>
      <c r="S9" s="54"/>
      <c r="T9" s="54"/>
      <c r="U9" s="54"/>
      <c r="V9" s="54"/>
    </row>
    <row r="10" spans="1:22" ht="25.5" customHeight="1">
      <c r="A10" s="31" t="s">
        <v>58</v>
      </c>
      <c r="B10" s="200" t="s">
        <v>123</v>
      </c>
      <c r="C10" s="201"/>
      <c r="D10" s="201"/>
      <c r="E10" s="201"/>
      <c r="F10" s="202"/>
      <c r="G10" s="11">
        <v>1</v>
      </c>
      <c r="H10" s="11" t="s">
        <v>51</v>
      </c>
      <c r="I10" s="11"/>
      <c r="J10" s="40"/>
      <c r="K10" s="41"/>
      <c r="L10" s="40"/>
      <c r="M10" s="25"/>
      <c r="N10" s="33"/>
      <c r="O10" s="41"/>
      <c r="P10" s="30"/>
      <c r="Q10" s="54"/>
      <c r="R10" s="54"/>
      <c r="S10" s="54"/>
      <c r="T10" s="54"/>
      <c r="U10" s="54"/>
      <c r="V10" s="54"/>
    </row>
    <row r="11" spans="1:22" ht="25.5" customHeight="1">
      <c r="A11" s="31" t="s">
        <v>59</v>
      </c>
      <c r="B11" s="200" t="s">
        <v>53</v>
      </c>
      <c r="C11" s="201"/>
      <c r="D11" s="201"/>
      <c r="E11" s="201"/>
      <c r="F11" s="202"/>
      <c r="G11" s="11">
        <v>1</v>
      </c>
      <c r="H11" s="11" t="s">
        <v>51</v>
      </c>
      <c r="I11" s="11"/>
      <c r="J11" s="40"/>
      <c r="K11" s="41"/>
      <c r="L11" s="40"/>
      <c r="M11" s="25"/>
      <c r="N11" s="41"/>
      <c r="O11" s="41"/>
      <c r="P11" s="30"/>
      <c r="Q11" s="54"/>
      <c r="R11" s="54"/>
      <c r="S11" s="54"/>
      <c r="T11" s="54"/>
      <c r="U11" s="54"/>
      <c r="V11" s="54"/>
    </row>
    <row r="12" spans="1:22" ht="25.5" customHeight="1">
      <c r="A12" s="31" t="s">
        <v>60</v>
      </c>
      <c r="B12" s="200" t="s">
        <v>54</v>
      </c>
      <c r="C12" s="201"/>
      <c r="D12" s="201"/>
      <c r="E12" s="201"/>
      <c r="F12" s="202"/>
      <c r="G12" s="11">
        <v>1</v>
      </c>
      <c r="H12" s="11" t="s">
        <v>51</v>
      </c>
      <c r="I12" s="11"/>
      <c r="J12" s="40"/>
      <c r="K12" s="41"/>
      <c r="L12" s="40"/>
      <c r="M12" s="41"/>
      <c r="N12" s="41"/>
      <c r="O12" s="41"/>
      <c r="P12" s="30"/>
      <c r="Q12" s="54"/>
      <c r="R12" s="54"/>
      <c r="S12" s="54"/>
      <c r="T12" s="54"/>
      <c r="U12" s="54"/>
      <c r="V12" s="54"/>
    </row>
    <row r="13" spans="1:22" ht="25.5" customHeight="1">
      <c r="A13" s="31" t="s">
        <v>61</v>
      </c>
      <c r="B13" s="200" t="s">
        <v>113</v>
      </c>
      <c r="C13" s="201"/>
      <c r="D13" s="201"/>
      <c r="E13" s="201"/>
      <c r="F13" s="202"/>
      <c r="G13" s="11">
        <v>1</v>
      </c>
      <c r="H13" s="11" t="s">
        <v>51</v>
      </c>
      <c r="I13" s="11"/>
      <c r="J13" s="40"/>
      <c r="K13" s="41"/>
      <c r="L13" s="40"/>
      <c r="M13" s="41"/>
      <c r="N13" s="41"/>
      <c r="O13" s="41"/>
      <c r="P13" s="30"/>
      <c r="Q13" s="54"/>
      <c r="R13" s="54"/>
      <c r="S13" s="54"/>
      <c r="T13" s="54"/>
      <c r="U13" s="54"/>
      <c r="V13" s="54"/>
    </row>
    <row r="14" spans="1:22" ht="24.75" customHeight="1">
      <c r="A14" s="203" t="s">
        <v>55</v>
      </c>
      <c r="B14" s="203"/>
      <c r="C14" s="203"/>
      <c r="D14" s="203"/>
      <c r="E14" s="203"/>
      <c r="F14" s="203"/>
      <c r="G14" s="203"/>
      <c r="H14" s="203"/>
      <c r="I14" s="203"/>
      <c r="J14" s="203"/>
      <c r="K14" s="203"/>
      <c r="L14" s="203"/>
      <c r="M14" s="203"/>
      <c r="N14" s="203"/>
      <c r="O14" s="203"/>
      <c r="P14" s="203"/>
      <c r="Q14" s="203"/>
      <c r="R14" s="203"/>
      <c r="S14" s="203"/>
      <c r="T14" s="123"/>
      <c r="U14" s="179"/>
      <c r="V14" s="180"/>
    </row>
    <row r="15" spans="1:22" ht="24.75" customHeight="1">
      <c r="A15" s="23"/>
      <c r="B15" s="23"/>
      <c r="C15" s="23"/>
      <c r="D15" s="23"/>
      <c r="G15" s="23"/>
      <c r="H15" s="23"/>
      <c r="I15" s="23"/>
      <c r="J15" s="23"/>
      <c r="K15" s="23"/>
      <c r="L15" s="23"/>
      <c r="M15" s="23"/>
      <c r="N15" s="23"/>
      <c r="O15" s="23"/>
      <c r="P15" s="23"/>
      <c r="Q15" s="23"/>
      <c r="R15" s="23"/>
    </row>
    <row r="16" spans="1:22" ht="24.75" customHeight="1">
      <c r="A16" s="23"/>
      <c r="B16" s="23"/>
      <c r="C16" s="23"/>
      <c r="D16" s="23"/>
      <c r="G16" s="67"/>
      <c r="H16" s="23"/>
      <c r="I16" s="23"/>
      <c r="J16" s="23"/>
      <c r="K16" s="23"/>
      <c r="L16" s="23"/>
      <c r="M16" s="23"/>
      <c r="N16" s="23"/>
      <c r="O16" s="23"/>
      <c r="P16" s="23"/>
      <c r="Q16" s="23"/>
      <c r="R16" s="23"/>
      <c r="S16" s="47"/>
      <c r="T16" s="23"/>
    </row>
    <row r="17" spans="1:20" ht="24.75" customHeight="1">
      <c r="A17" s="23"/>
      <c r="B17" s="23"/>
      <c r="C17" s="23"/>
      <c r="D17" s="23"/>
      <c r="G17" s="67"/>
      <c r="H17" s="23"/>
      <c r="I17" s="23"/>
      <c r="J17" s="23"/>
      <c r="K17" s="23"/>
      <c r="L17" s="23"/>
      <c r="M17" s="23"/>
      <c r="N17" s="23"/>
      <c r="O17" s="23"/>
      <c r="P17" s="23"/>
      <c r="Q17" s="23"/>
      <c r="R17" s="23"/>
      <c r="S17" s="47"/>
      <c r="T17" s="23"/>
    </row>
    <row r="18" spans="1:20" ht="24.75" customHeight="1">
      <c r="A18" s="23"/>
      <c r="B18" s="23"/>
      <c r="C18" s="23"/>
      <c r="D18" s="23"/>
      <c r="G18" s="67"/>
      <c r="H18" s="23"/>
      <c r="I18" s="23"/>
      <c r="J18" s="23"/>
      <c r="K18" s="23"/>
      <c r="L18" s="23"/>
      <c r="M18" s="23"/>
      <c r="N18" s="23"/>
      <c r="O18" s="23"/>
      <c r="P18" s="23"/>
      <c r="Q18" s="23"/>
      <c r="R18" s="23"/>
      <c r="S18" s="51"/>
      <c r="T18" s="23"/>
    </row>
    <row r="19" spans="1:20" ht="24.75" customHeight="1">
      <c r="A19" s="23"/>
      <c r="B19" s="23"/>
      <c r="C19" s="23"/>
      <c r="D19" s="23"/>
      <c r="G19" s="23"/>
      <c r="H19" s="23"/>
      <c r="I19" s="23"/>
      <c r="J19" s="23"/>
      <c r="K19" s="23"/>
      <c r="L19" s="23"/>
      <c r="M19" s="23"/>
      <c r="N19" s="23"/>
      <c r="O19" s="23"/>
      <c r="P19" s="23"/>
      <c r="Q19" s="23"/>
      <c r="R19" s="23"/>
      <c r="S19" s="23"/>
      <c r="T19" s="23"/>
    </row>
    <row r="22" spans="1:20">
      <c r="A22" s="71"/>
      <c r="B22" s="72"/>
      <c r="C22" s="73"/>
      <c r="D22" s="73"/>
      <c r="E22" s="73"/>
      <c r="F22" s="73"/>
      <c r="G22" s="73"/>
      <c r="H22" s="73"/>
      <c r="I22" s="73"/>
      <c r="J22" s="73"/>
      <c r="K22" s="73"/>
      <c r="L22" s="73"/>
      <c r="M22" s="73"/>
      <c r="N22" s="73"/>
      <c r="O22" s="73"/>
      <c r="P22" s="73"/>
      <c r="Q22" s="73"/>
      <c r="R22" s="73"/>
      <c r="S22" s="73"/>
    </row>
    <row r="23" spans="1:20">
      <c r="A23" s="73"/>
      <c r="B23" s="72"/>
      <c r="C23" s="73"/>
      <c r="D23" s="73"/>
      <c r="E23" s="73"/>
      <c r="F23" s="73"/>
      <c r="G23" s="73"/>
      <c r="H23" s="73"/>
      <c r="I23" s="73"/>
      <c r="J23" s="73"/>
      <c r="K23" s="73"/>
      <c r="L23" s="73"/>
      <c r="M23" s="73"/>
      <c r="N23" s="73"/>
      <c r="O23" s="73"/>
      <c r="P23" s="73"/>
      <c r="Q23" s="73"/>
      <c r="R23" s="73"/>
      <c r="S23" s="73"/>
    </row>
  </sheetData>
  <mergeCells count="12">
    <mergeCell ref="B10:F10"/>
    <mergeCell ref="B11:F11"/>
    <mergeCell ref="B12:F12"/>
    <mergeCell ref="B13:F13"/>
    <mergeCell ref="A14:S14"/>
    <mergeCell ref="Q4:S4"/>
    <mergeCell ref="T4:V4"/>
    <mergeCell ref="A4:A6"/>
    <mergeCell ref="B4:F6"/>
    <mergeCell ref="B9:F9"/>
    <mergeCell ref="B7:F7"/>
    <mergeCell ref="B8:F8"/>
  </mergeCells>
  <printOptions horizontalCentered="1"/>
  <pageMargins left="0.31496062992125984" right="0.31496062992125984" top="0.51181102362204722" bottom="0.59055118110236227" header="0.31496062992125984" footer="0.31496062992125984"/>
  <pageSetup paperSize="9" scale="90" orientation="landscape" r:id="rId1"/>
  <headerFooter>
    <oddHeader>&amp;L&amp;"Calibri,Normal"Bordereaux des prix</oddHeader>
    <oddFooter>&amp;L&amp;"Calibri,Normal"STEP Abdelmoumen – Marché n° SP 95556 P4 (Appel d’Offres n° SP 457 747)&amp;R&amp;"Calibri,Normal"Page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247"/>
  <sheetViews>
    <sheetView tabSelected="1" topLeftCell="A175" zoomScaleNormal="100" zoomScaleSheetLayoutView="100" zoomScalePageLayoutView="140" workbookViewId="0">
      <selection activeCell="B216" sqref="B216"/>
    </sheetView>
  </sheetViews>
  <sheetFormatPr baseColWidth="10" defaultColWidth="11.54296875" defaultRowHeight="13"/>
  <cols>
    <col min="1" max="1" width="15" style="130" customWidth="1"/>
    <col min="2" max="2" width="121.453125" customWidth="1"/>
    <col min="3" max="3" width="10.453125" customWidth="1"/>
    <col min="4" max="4" width="9.453125" customWidth="1"/>
    <col min="5" max="5" width="16.1796875" customWidth="1"/>
    <col min="6" max="6" width="18.7265625" customWidth="1"/>
    <col min="7" max="7" width="16.1796875" style="45" customWidth="1"/>
    <col min="8" max="8" width="22" style="49" customWidth="1"/>
    <col min="9" max="9" width="15.7265625" bestFit="1" customWidth="1"/>
    <col min="10" max="10" width="17.453125" bestFit="1" customWidth="1"/>
    <col min="11" max="11" width="17.81640625" bestFit="1" customWidth="1"/>
  </cols>
  <sheetData>
    <row r="2" spans="1:11">
      <c r="A2" s="15" t="s">
        <v>63</v>
      </c>
      <c r="E2" s="45"/>
      <c r="F2" s="45"/>
    </row>
    <row r="4" spans="1:11" ht="17.25" customHeight="1">
      <c r="A4" s="190" t="s">
        <v>45</v>
      </c>
      <c r="B4" s="190" t="s">
        <v>8</v>
      </c>
      <c r="C4" s="190" t="s">
        <v>327</v>
      </c>
      <c r="D4" s="190" t="s">
        <v>10</v>
      </c>
      <c r="E4" s="190" t="s">
        <v>122</v>
      </c>
      <c r="F4" s="190"/>
      <c r="G4" s="190"/>
      <c r="H4" s="190" t="s">
        <v>107</v>
      </c>
      <c r="I4" s="190"/>
      <c r="J4" s="190"/>
    </row>
    <row r="5" spans="1:11" ht="14.5">
      <c r="A5" s="190"/>
      <c r="B5" s="190"/>
      <c r="C5" s="190"/>
      <c r="D5" s="190"/>
      <c r="E5" s="89" t="s">
        <v>28</v>
      </c>
      <c r="F5" s="89" t="s">
        <v>439</v>
      </c>
      <c r="G5" s="89" t="s">
        <v>444</v>
      </c>
      <c r="H5" s="89" t="s">
        <v>28</v>
      </c>
      <c r="I5" s="89" t="s">
        <v>439</v>
      </c>
      <c r="J5" s="89" t="s">
        <v>444</v>
      </c>
    </row>
    <row r="6" spans="1:11" ht="14.5">
      <c r="A6" s="190"/>
      <c r="B6" s="190"/>
      <c r="C6" s="190"/>
      <c r="D6" s="190"/>
      <c r="E6" s="127" t="s">
        <v>17</v>
      </c>
      <c r="F6" s="127" t="s">
        <v>62</v>
      </c>
      <c r="G6" s="127" t="s">
        <v>445</v>
      </c>
      <c r="H6" s="127" t="s">
        <v>11</v>
      </c>
      <c r="I6" s="127" t="s">
        <v>50</v>
      </c>
      <c r="J6" s="127" t="s">
        <v>446</v>
      </c>
    </row>
    <row r="7" spans="1:11" ht="24.75" customHeight="1">
      <c r="A7" s="153" t="s">
        <v>85</v>
      </c>
      <c r="B7" s="204" t="s">
        <v>64</v>
      </c>
      <c r="C7" s="204"/>
      <c r="D7" s="204"/>
      <c r="E7" s="204"/>
      <c r="F7" s="204"/>
      <c r="G7" s="204"/>
      <c r="H7" s="204"/>
      <c r="I7" s="204"/>
      <c r="J7" s="204"/>
    </row>
    <row r="8" spans="1:11" ht="21" customHeight="1">
      <c r="A8" s="147"/>
      <c r="B8" s="148" t="s">
        <v>65</v>
      </c>
      <c r="C8" s="149"/>
      <c r="D8" s="149"/>
      <c r="E8" s="149"/>
      <c r="F8" s="149"/>
      <c r="G8" s="154"/>
      <c r="H8" s="155"/>
      <c r="I8" s="154"/>
      <c r="J8" s="155"/>
    </row>
    <row r="9" spans="1:11" ht="15.75" customHeight="1">
      <c r="A9" s="153" t="s">
        <v>86</v>
      </c>
      <c r="B9" s="110" t="s">
        <v>66</v>
      </c>
      <c r="C9" s="156">
        <v>1</v>
      </c>
      <c r="D9" s="103" t="s">
        <v>135</v>
      </c>
      <c r="E9" s="157"/>
      <c r="F9" s="158"/>
      <c r="G9" s="159"/>
      <c r="H9" s="160"/>
      <c r="I9" s="159"/>
      <c r="J9" s="160"/>
    </row>
    <row r="10" spans="1:11" ht="15.75" customHeight="1">
      <c r="A10" s="153" t="s">
        <v>87</v>
      </c>
      <c r="B10" s="110" t="s">
        <v>67</v>
      </c>
      <c r="C10" s="156">
        <v>1</v>
      </c>
      <c r="D10" s="103" t="s">
        <v>135</v>
      </c>
      <c r="E10" s="157"/>
      <c r="F10" s="158"/>
      <c r="G10" s="159"/>
      <c r="H10" s="160"/>
      <c r="I10" s="159"/>
      <c r="J10" s="160"/>
    </row>
    <row r="11" spans="1:11" ht="15.75" customHeight="1">
      <c r="A11" s="153" t="s">
        <v>88</v>
      </c>
      <c r="B11" s="110" t="s">
        <v>68</v>
      </c>
      <c r="C11" s="156">
        <v>1</v>
      </c>
      <c r="D11" s="103" t="s">
        <v>135</v>
      </c>
      <c r="E11" s="157"/>
      <c r="F11" s="158"/>
      <c r="G11" s="161"/>
      <c r="H11" s="160"/>
      <c r="I11" s="161"/>
      <c r="J11" s="160"/>
      <c r="K11" s="74"/>
    </row>
    <row r="12" spans="1:11" ht="14.5">
      <c r="A12" s="153" t="s">
        <v>89</v>
      </c>
      <c r="B12" s="110" t="s">
        <v>771</v>
      </c>
      <c r="C12" s="156">
        <v>1</v>
      </c>
      <c r="D12" s="103" t="s">
        <v>135</v>
      </c>
      <c r="E12" s="157"/>
      <c r="F12" s="158"/>
      <c r="G12" s="159"/>
      <c r="H12" s="160"/>
      <c r="I12" s="159"/>
      <c r="J12" s="160"/>
    </row>
    <row r="13" spans="1:11" ht="15.75" customHeight="1">
      <c r="A13" s="153" t="s">
        <v>90</v>
      </c>
      <c r="B13" s="110" t="s">
        <v>69</v>
      </c>
      <c r="C13" s="156">
        <v>1</v>
      </c>
      <c r="D13" s="103" t="s">
        <v>135</v>
      </c>
      <c r="E13" s="157"/>
      <c r="F13" s="158"/>
      <c r="G13" s="161"/>
      <c r="H13" s="160"/>
      <c r="I13" s="161"/>
      <c r="J13" s="160"/>
      <c r="K13" s="74"/>
    </row>
    <row r="14" spans="1:11" ht="27" customHeight="1">
      <c r="A14" s="153" t="s">
        <v>91</v>
      </c>
      <c r="B14" s="110" t="s">
        <v>127</v>
      </c>
      <c r="C14" s="156">
        <v>1</v>
      </c>
      <c r="D14" s="103" t="s">
        <v>135</v>
      </c>
      <c r="E14" s="157"/>
      <c r="F14" s="158"/>
      <c r="G14" s="159"/>
      <c r="H14" s="160"/>
      <c r="I14" s="159"/>
      <c r="J14" s="160"/>
    </row>
    <row r="15" spans="1:11" ht="15.75" customHeight="1">
      <c r="A15" s="153" t="s">
        <v>92</v>
      </c>
      <c r="B15" s="110" t="s">
        <v>70</v>
      </c>
      <c r="C15" s="156">
        <v>1</v>
      </c>
      <c r="D15" s="103" t="s">
        <v>135</v>
      </c>
      <c r="E15" s="157"/>
      <c r="F15" s="158"/>
      <c r="G15" s="157"/>
      <c r="H15" s="160"/>
      <c r="I15" s="157"/>
      <c r="J15" s="160"/>
    </row>
    <row r="16" spans="1:11" ht="15.75" customHeight="1">
      <c r="A16" s="153" t="s">
        <v>93</v>
      </c>
      <c r="B16" s="110" t="s">
        <v>71</v>
      </c>
      <c r="C16" s="156">
        <v>1</v>
      </c>
      <c r="D16" s="103" t="s">
        <v>135</v>
      </c>
      <c r="E16" s="157"/>
      <c r="F16" s="158"/>
      <c r="G16" s="161"/>
      <c r="H16" s="160"/>
      <c r="I16" s="161"/>
      <c r="J16" s="160"/>
      <c r="K16" s="74"/>
    </row>
    <row r="17" spans="1:11" ht="15.75" customHeight="1">
      <c r="A17" s="153" t="s">
        <v>94</v>
      </c>
      <c r="B17" s="110" t="s">
        <v>72</v>
      </c>
      <c r="C17" s="156">
        <v>1</v>
      </c>
      <c r="D17" s="103" t="s">
        <v>135</v>
      </c>
      <c r="E17" s="157"/>
      <c r="F17" s="158"/>
      <c r="G17" s="159"/>
      <c r="H17" s="160"/>
      <c r="I17" s="159"/>
      <c r="J17" s="160"/>
    </row>
    <row r="18" spans="1:11" ht="15.75" customHeight="1">
      <c r="A18" s="153" t="s">
        <v>95</v>
      </c>
      <c r="B18" s="110" t="s">
        <v>73</v>
      </c>
      <c r="C18" s="156">
        <v>1</v>
      </c>
      <c r="D18" s="103" t="s">
        <v>135</v>
      </c>
      <c r="E18" s="157"/>
      <c r="F18" s="158"/>
      <c r="G18" s="161"/>
      <c r="H18" s="160"/>
      <c r="I18" s="161"/>
      <c r="J18" s="160"/>
      <c r="K18" s="74"/>
    </row>
    <row r="19" spans="1:11" ht="21" customHeight="1">
      <c r="A19" s="147"/>
      <c r="B19" s="148" t="s">
        <v>74</v>
      </c>
      <c r="C19" s="149"/>
      <c r="D19" s="149"/>
      <c r="E19" s="149"/>
      <c r="F19" s="149"/>
      <c r="G19" s="154"/>
      <c r="H19" s="155"/>
      <c r="I19" s="154"/>
      <c r="J19" s="155"/>
      <c r="K19" s="75"/>
    </row>
    <row r="20" spans="1:11" ht="15.75" customHeight="1">
      <c r="A20" s="153" t="s">
        <v>96</v>
      </c>
      <c r="B20" s="110" t="s">
        <v>75</v>
      </c>
      <c r="C20" s="156">
        <v>1</v>
      </c>
      <c r="D20" s="103" t="s">
        <v>135</v>
      </c>
      <c r="E20" s="157"/>
      <c r="F20" s="158"/>
      <c r="G20" s="157"/>
      <c r="H20" s="160"/>
      <c r="I20" s="157"/>
      <c r="J20" s="160"/>
    </row>
    <row r="21" spans="1:11" ht="15.75" customHeight="1">
      <c r="A21" s="153" t="s">
        <v>97</v>
      </c>
      <c r="B21" s="110" t="s">
        <v>76</v>
      </c>
      <c r="C21" s="156">
        <v>1</v>
      </c>
      <c r="D21" s="103" t="s">
        <v>135</v>
      </c>
      <c r="E21" s="157"/>
      <c r="F21" s="158"/>
      <c r="G21" s="159"/>
      <c r="H21" s="160"/>
      <c r="I21" s="159"/>
      <c r="J21" s="160"/>
    </row>
    <row r="22" spans="1:11" ht="15.75" customHeight="1">
      <c r="A22" s="153" t="s">
        <v>98</v>
      </c>
      <c r="B22" s="110" t="s">
        <v>73</v>
      </c>
      <c r="C22" s="156">
        <v>1</v>
      </c>
      <c r="D22" s="103" t="s">
        <v>135</v>
      </c>
      <c r="E22" s="157"/>
      <c r="F22" s="158"/>
      <c r="G22" s="159"/>
      <c r="H22" s="160"/>
      <c r="I22" s="159"/>
      <c r="J22" s="160"/>
    </row>
    <row r="23" spans="1:11" ht="21" customHeight="1">
      <c r="A23" s="147"/>
      <c r="B23" s="148" t="s">
        <v>77</v>
      </c>
      <c r="C23" s="149"/>
      <c r="D23" s="149"/>
      <c r="E23" s="149"/>
      <c r="F23" s="149"/>
      <c r="G23" s="154"/>
      <c r="H23" s="155"/>
      <c r="I23" s="154"/>
      <c r="J23" s="155"/>
    </row>
    <row r="24" spans="1:11" ht="15.75" customHeight="1">
      <c r="A24" s="153" t="s">
        <v>99</v>
      </c>
      <c r="B24" s="110" t="s">
        <v>78</v>
      </c>
      <c r="C24" s="156">
        <v>1</v>
      </c>
      <c r="D24" s="103" t="s">
        <v>135</v>
      </c>
      <c r="E24" s="157"/>
      <c r="F24" s="158"/>
      <c r="G24" s="159"/>
      <c r="H24" s="160"/>
      <c r="I24" s="159"/>
      <c r="J24" s="160"/>
    </row>
    <row r="25" spans="1:11" ht="15.75" customHeight="1">
      <c r="A25" s="153" t="s">
        <v>100</v>
      </c>
      <c r="B25" s="110" t="s">
        <v>76</v>
      </c>
      <c r="C25" s="156">
        <v>1</v>
      </c>
      <c r="D25" s="103" t="s">
        <v>135</v>
      </c>
      <c r="E25" s="157"/>
      <c r="F25" s="158"/>
      <c r="G25" s="159"/>
      <c r="H25" s="160"/>
      <c r="I25" s="159"/>
      <c r="J25" s="160"/>
    </row>
    <row r="26" spans="1:11" ht="15.75" customHeight="1">
      <c r="A26" s="153" t="s">
        <v>101</v>
      </c>
      <c r="B26" s="110" t="s">
        <v>79</v>
      </c>
      <c r="C26" s="156">
        <v>1</v>
      </c>
      <c r="D26" s="103" t="s">
        <v>135</v>
      </c>
      <c r="E26" s="157"/>
      <c r="F26" s="158"/>
      <c r="G26" s="157"/>
      <c r="H26" s="160"/>
      <c r="I26" s="157"/>
      <c r="J26" s="160"/>
    </row>
    <row r="27" spans="1:11" ht="15.75" customHeight="1">
      <c r="A27" s="153" t="s">
        <v>102</v>
      </c>
      <c r="B27" s="110" t="s">
        <v>73</v>
      </c>
      <c r="C27" s="156">
        <v>1</v>
      </c>
      <c r="D27" s="103" t="s">
        <v>135</v>
      </c>
      <c r="E27" s="157"/>
      <c r="F27" s="158"/>
      <c r="G27" s="159"/>
      <c r="H27" s="160"/>
      <c r="I27" s="159"/>
      <c r="J27" s="160"/>
    </row>
    <row r="28" spans="1:11" ht="24.75" customHeight="1">
      <c r="A28" s="190" t="s">
        <v>80</v>
      </c>
      <c r="B28" s="190"/>
      <c r="C28" s="190"/>
      <c r="D28" s="190"/>
      <c r="E28" s="44"/>
      <c r="F28" s="44"/>
      <c r="G28" s="159"/>
      <c r="H28" s="139"/>
      <c r="I28" s="46"/>
      <c r="J28" s="139"/>
      <c r="K28" s="76"/>
    </row>
    <row r="29" spans="1:11" ht="24.75" customHeight="1">
      <c r="A29" s="2" t="s">
        <v>103</v>
      </c>
      <c r="B29" s="205" t="s">
        <v>104</v>
      </c>
      <c r="C29" s="205"/>
      <c r="D29" s="205"/>
      <c r="E29" s="205"/>
      <c r="F29" s="205"/>
      <c r="G29" s="205"/>
      <c r="H29" s="205"/>
      <c r="I29" s="205"/>
      <c r="J29" s="205"/>
    </row>
    <row r="30" spans="1:11" ht="21" customHeight="1">
      <c r="A30" s="147" t="s">
        <v>598</v>
      </c>
      <c r="B30" s="148" t="s">
        <v>447</v>
      </c>
      <c r="C30" s="149"/>
      <c r="D30" s="133"/>
      <c r="E30" s="133"/>
      <c r="F30" s="133"/>
      <c r="G30" s="134"/>
      <c r="H30" s="135"/>
      <c r="I30" s="134"/>
      <c r="J30" s="135"/>
    </row>
    <row r="31" spans="1:11" ht="15.75" customHeight="1">
      <c r="A31" s="129"/>
      <c r="B31" s="124" t="s">
        <v>448</v>
      </c>
      <c r="C31" s="124"/>
      <c r="D31" s="90"/>
      <c r="E31" s="140"/>
      <c r="F31" s="141"/>
      <c r="G31" s="137"/>
      <c r="H31" s="138"/>
      <c r="I31" s="137"/>
      <c r="J31" s="138"/>
    </row>
    <row r="32" spans="1:11" ht="15.75" customHeight="1">
      <c r="A32" s="147" t="s">
        <v>599</v>
      </c>
      <c r="B32" s="148" t="s">
        <v>449</v>
      </c>
      <c r="C32" s="149"/>
      <c r="D32" s="133"/>
      <c r="E32" s="133"/>
      <c r="F32" s="133"/>
      <c r="G32" s="134"/>
      <c r="H32" s="135"/>
      <c r="I32" s="134"/>
      <c r="J32" s="135"/>
    </row>
    <row r="33" spans="1:10" ht="15.75" customHeight="1">
      <c r="A33" s="93" t="s">
        <v>600</v>
      </c>
      <c r="B33" s="150" t="s">
        <v>82</v>
      </c>
      <c r="C33" s="103"/>
      <c r="D33" s="103" t="s">
        <v>451</v>
      </c>
      <c r="E33" s="140"/>
      <c r="F33" s="141"/>
      <c r="G33" s="137"/>
      <c r="H33" s="138"/>
      <c r="I33" s="137"/>
      <c r="J33" s="138"/>
    </row>
    <row r="34" spans="1:10" ht="15.75" customHeight="1">
      <c r="A34" s="93" t="s">
        <v>601</v>
      </c>
      <c r="B34" s="150" t="s">
        <v>81</v>
      </c>
      <c r="C34" s="103"/>
      <c r="D34" s="103" t="s">
        <v>451</v>
      </c>
      <c r="E34" s="140"/>
      <c r="F34" s="141"/>
      <c r="G34" s="137"/>
      <c r="H34" s="138"/>
      <c r="I34" s="137"/>
      <c r="J34" s="138"/>
    </row>
    <row r="35" spans="1:10" ht="15.75" customHeight="1">
      <c r="A35" s="93" t="s">
        <v>602</v>
      </c>
      <c r="B35" s="150" t="s">
        <v>454</v>
      </c>
      <c r="C35" s="103"/>
      <c r="D35" s="103" t="s">
        <v>451</v>
      </c>
      <c r="E35" s="140"/>
      <c r="F35" s="141"/>
      <c r="G35" s="137"/>
      <c r="H35" s="138"/>
      <c r="I35" s="137"/>
      <c r="J35" s="138"/>
    </row>
    <row r="36" spans="1:10" ht="15.75" customHeight="1">
      <c r="A36" s="93" t="s">
        <v>603</v>
      </c>
      <c r="B36" s="151" t="s">
        <v>456</v>
      </c>
      <c r="C36" s="103"/>
      <c r="D36" s="103" t="s">
        <v>451</v>
      </c>
      <c r="E36" s="140"/>
      <c r="F36" s="141"/>
      <c r="G36" s="137"/>
      <c r="H36" s="138"/>
      <c r="I36" s="137"/>
      <c r="J36" s="138"/>
    </row>
    <row r="37" spans="1:10" ht="15.75" customHeight="1">
      <c r="A37" s="93" t="s">
        <v>604</v>
      </c>
      <c r="B37" s="101" t="s">
        <v>458</v>
      </c>
      <c r="C37" s="103"/>
      <c r="D37" s="103" t="s">
        <v>451</v>
      </c>
      <c r="E37" s="140"/>
      <c r="F37" s="141"/>
      <c r="G37" s="137"/>
      <c r="H37" s="138"/>
      <c r="I37" s="137"/>
      <c r="J37" s="138"/>
    </row>
    <row r="38" spans="1:10" ht="15.75" customHeight="1">
      <c r="A38" s="93" t="s">
        <v>605</v>
      </c>
      <c r="B38" s="150" t="s">
        <v>461</v>
      </c>
      <c r="C38" s="103"/>
      <c r="D38" s="103" t="s">
        <v>451</v>
      </c>
      <c r="E38" s="140"/>
      <c r="F38" s="141"/>
      <c r="G38" s="137"/>
      <c r="H38" s="138"/>
      <c r="I38" s="137"/>
      <c r="J38" s="138"/>
    </row>
    <row r="39" spans="1:10" ht="21" customHeight="1">
      <c r="A39" s="93" t="s">
        <v>606</v>
      </c>
      <c r="B39" s="150" t="s">
        <v>462</v>
      </c>
      <c r="C39" s="103"/>
      <c r="D39" s="103" t="s">
        <v>451</v>
      </c>
      <c r="E39" s="140"/>
      <c r="F39" s="141"/>
      <c r="G39" s="137"/>
      <c r="H39" s="138"/>
      <c r="I39" s="137"/>
      <c r="J39" s="138"/>
    </row>
    <row r="40" spans="1:10" ht="15.75" customHeight="1">
      <c r="A40" s="93" t="s">
        <v>607</v>
      </c>
      <c r="B40" s="150" t="s">
        <v>463</v>
      </c>
      <c r="C40" s="103"/>
      <c r="D40" s="103" t="s">
        <v>451</v>
      </c>
      <c r="E40" s="140"/>
      <c r="F40" s="141"/>
      <c r="G40" s="136"/>
      <c r="H40" s="138"/>
      <c r="I40" s="136"/>
      <c r="J40" s="138"/>
    </row>
    <row r="41" spans="1:10" ht="15.75" customHeight="1">
      <c r="A41" s="93" t="s">
        <v>608</v>
      </c>
      <c r="B41" s="150" t="s">
        <v>464</v>
      </c>
      <c r="C41" s="103"/>
      <c r="D41" s="103" t="s">
        <v>451</v>
      </c>
      <c r="E41" s="140"/>
      <c r="F41" s="141"/>
      <c r="G41" s="136"/>
      <c r="H41" s="138"/>
      <c r="I41" s="136"/>
      <c r="J41" s="138"/>
    </row>
    <row r="42" spans="1:10" ht="15.75" customHeight="1">
      <c r="A42" s="93" t="s">
        <v>609</v>
      </c>
      <c r="B42" s="150" t="s">
        <v>465</v>
      </c>
      <c r="C42" s="103"/>
      <c r="D42" s="103" t="s">
        <v>451</v>
      </c>
      <c r="E42" s="140"/>
      <c r="F42" s="141"/>
      <c r="G42" s="136"/>
      <c r="H42" s="138"/>
      <c r="I42" s="136"/>
      <c r="J42" s="138"/>
    </row>
    <row r="43" spans="1:10" ht="14.5">
      <c r="A43" s="147" t="s">
        <v>610</v>
      </c>
      <c r="B43" s="148" t="s">
        <v>467</v>
      </c>
      <c r="C43" s="149"/>
      <c r="D43" s="133"/>
      <c r="E43" s="133"/>
      <c r="F43" s="133"/>
      <c r="G43" s="134"/>
      <c r="H43" s="135"/>
      <c r="I43" s="134"/>
      <c r="J43" s="135"/>
    </row>
    <row r="44" spans="1:10" ht="15.75" customHeight="1">
      <c r="A44" s="93" t="s">
        <v>611</v>
      </c>
      <c r="B44" s="150" t="s">
        <v>469</v>
      </c>
      <c r="C44" s="103"/>
      <c r="D44" s="103" t="s">
        <v>451</v>
      </c>
      <c r="E44" s="140"/>
      <c r="F44" s="141"/>
      <c r="G44" s="136"/>
      <c r="H44" s="138"/>
      <c r="I44" s="136"/>
      <c r="J44" s="138"/>
    </row>
    <row r="45" spans="1:10" ht="15.75" customHeight="1">
      <c r="A45" s="93" t="s">
        <v>612</v>
      </c>
      <c r="B45" s="150" t="s">
        <v>471</v>
      </c>
      <c r="C45" s="103"/>
      <c r="D45" s="103" t="s">
        <v>472</v>
      </c>
      <c r="E45" s="140"/>
      <c r="F45" s="141"/>
      <c r="G45" s="136"/>
      <c r="H45" s="138"/>
      <c r="I45" s="136"/>
      <c r="J45" s="138"/>
    </row>
    <row r="46" spans="1:10" ht="15.75" customHeight="1">
      <c r="A46" s="93" t="s">
        <v>613</v>
      </c>
      <c r="B46" s="150" t="s">
        <v>474</v>
      </c>
      <c r="C46" s="103"/>
      <c r="D46" s="103" t="s">
        <v>472</v>
      </c>
      <c r="E46" s="140"/>
      <c r="F46" s="141"/>
      <c r="G46" s="136"/>
      <c r="H46" s="138"/>
      <c r="I46" s="136"/>
      <c r="J46" s="138"/>
    </row>
    <row r="47" spans="1:10" ht="21" customHeight="1">
      <c r="A47" s="93" t="s">
        <v>614</v>
      </c>
      <c r="B47" s="150" t="s">
        <v>476</v>
      </c>
      <c r="C47" s="103"/>
      <c r="D47" s="103" t="s">
        <v>451</v>
      </c>
      <c r="E47" s="140"/>
      <c r="F47" s="141"/>
      <c r="G47" s="136"/>
      <c r="H47" s="138"/>
      <c r="I47" s="136"/>
      <c r="J47" s="138"/>
    </row>
    <row r="48" spans="1:10" ht="15.75" customHeight="1">
      <c r="A48" s="93" t="s">
        <v>615</v>
      </c>
      <c r="B48" s="150" t="s">
        <v>478</v>
      </c>
      <c r="C48" s="103"/>
      <c r="D48" s="103" t="s">
        <v>451</v>
      </c>
      <c r="E48" s="140"/>
      <c r="F48" s="141"/>
      <c r="G48" s="136"/>
      <c r="H48" s="138"/>
      <c r="I48" s="136"/>
      <c r="J48" s="138"/>
    </row>
    <row r="49" spans="1:10" ht="15.75" customHeight="1">
      <c r="A49" s="93" t="s">
        <v>616</v>
      </c>
      <c r="B49" s="150" t="s">
        <v>480</v>
      </c>
      <c r="C49" s="103"/>
      <c r="D49" s="103" t="s">
        <v>451</v>
      </c>
      <c r="E49" s="140"/>
      <c r="F49" s="141"/>
      <c r="G49" s="136"/>
      <c r="H49" s="138"/>
      <c r="I49" s="136"/>
      <c r="J49" s="138"/>
    </row>
    <row r="50" spans="1:10" ht="15.75" customHeight="1">
      <c r="A50" s="93" t="s">
        <v>617</v>
      </c>
      <c r="B50" s="150" t="s">
        <v>482</v>
      </c>
      <c r="C50" s="103"/>
      <c r="D50" s="103" t="s">
        <v>483</v>
      </c>
      <c r="E50" s="140"/>
      <c r="F50" s="141"/>
      <c r="G50" s="136"/>
      <c r="H50" s="138"/>
      <c r="I50" s="136"/>
      <c r="J50" s="138"/>
    </row>
    <row r="51" spans="1:10" ht="14.5">
      <c r="A51" s="93" t="s">
        <v>618</v>
      </c>
      <c r="B51" s="150" t="s">
        <v>484</v>
      </c>
      <c r="C51" s="103"/>
      <c r="D51" s="103" t="s">
        <v>472</v>
      </c>
      <c r="E51" s="140"/>
      <c r="F51" s="141"/>
      <c r="G51" s="136"/>
      <c r="H51" s="138"/>
      <c r="I51" s="136"/>
      <c r="J51" s="138"/>
    </row>
    <row r="52" spans="1:10" ht="15.75" customHeight="1">
      <c r="A52" s="93" t="s">
        <v>619</v>
      </c>
      <c r="B52" s="150" t="s">
        <v>485</v>
      </c>
      <c r="C52" s="103"/>
      <c r="D52" s="103" t="s">
        <v>451</v>
      </c>
      <c r="E52" s="140"/>
      <c r="F52" s="141"/>
      <c r="G52" s="136"/>
      <c r="H52" s="138"/>
      <c r="I52" s="136"/>
      <c r="J52" s="138"/>
    </row>
    <row r="53" spans="1:10" ht="14.5">
      <c r="A53" s="93" t="s">
        <v>620</v>
      </c>
      <c r="B53" s="150" t="s">
        <v>486</v>
      </c>
      <c r="C53" s="103"/>
      <c r="D53" s="103" t="s">
        <v>483</v>
      </c>
      <c r="E53" s="140"/>
      <c r="F53" s="141"/>
      <c r="G53" s="136"/>
      <c r="H53" s="138"/>
      <c r="I53" s="136"/>
      <c r="J53" s="138"/>
    </row>
    <row r="54" spans="1:10" ht="21" customHeight="1">
      <c r="A54" s="93" t="s">
        <v>621</v>
      </c>
      <c r="B54" s="150" t="s">
        <v>487</v>
      </c>
      <c r="C54" s="103"/>
      <c r="D54" s="103" t="s">
        <v>451</v>
      </c>
      <c r="E54" s="140"/>
      <c r="F54" s="141"/>
      <c r="G54" s="136"/>
      <c r="H54" s="138"/>
      <c r="I54" s="136"/>
      <c r="J54" s="138"/>
    </row>
    <row r="55" spans="1:10" ht="15.75" customHeight="1">
      <c r="A55" s="93" t="s">
        <v>622</v>
      </c>
      <c r="B55" s="150" t="s">
        <v>488</v>
      </c>
      <c r="C55" s="103"/>
      <c r="D55" s="103" t="s">
        <v>451</v>
      </c>
      <c r="E55" s="140"/>
      <c r="F55" s="141"/>
      <c r="G55" s="136"/>
      <c r="H55" s="138"/>
      <c r="I55" s="136"/>
      <c r="J55" s="138"/>
    </row>
    <row r="56" spans="1:10" ht="15.75" customHeight="1">
      <c r="A56" s="93" t="s">
        <v>623</v>
      </c>
      <c r="B56" s="150" t="s">
        <v>489</v>
      </c>
      <c r="C56" s="103"/>
      <c r="D56" s="103" t="s">
        <v>451</v>
      </c>
      <c r="E56" s="140"/>
      <c r="F56" s="141"/>
      <c r="G56" s="136"/>
      <c r="H56" s="138"/>
      <c r="I56" s="136"/>
      <c r="J56" s="138"/>
    </row>
    <row r="57" spans="1:10" ht="15.75" customHeight="1">
      <c r="A57" s="93" t="s">
        <v>624</v>
      </c>
      <c r="B57" s="150" t="s">
        <v>490</v>
      </c>
      <c r="C57" s="103"/>
      <c r="D57" s="103" t="s">
        <v>451</v>
      </c>
      <c r="E57" s="140"/>
      <c r="F57" s="141"/>
      <c r="G57" s="136"/>
      <c r="H57" s="138"/>
      <c r="I57" s="136"/>
      <c r="J57" s="138"/>
    </row>
    <row r="58" spans="1:10" ht="14.5">
      <c r="A58" s="93" t="s">
        <v>625</v>
      </c>
      <c r="B58" s="150" t="s">
        <v>491</v>
      </c>
      <c r="C58" s="103"/>
      <c r="D58" s="103" t="s">
        <v>451</v>
      </c>
      <c r="E58" s="140"/>
      <c r="F58" s="141"/>
      <c r="G58" s="136"/>
      <c r="H58" s="138"/>
      <c r="I58" s="136"/>
      <c r="J58" s="138"/>
    </row>
    <row r="59" spans="1:10" ht="15.75" customHeight="1">
      <c r="A59" s="93" t="s">
        <v>626</v>
      </c>
      <c r="B59" s="150" t="s">
        <v>492</v>
      </c>
      <c r="C59" s="103"/>
      <c r="D59" s="103" t="s">
        <v>451</v>
      </c>
      <c r="E59" s="140"/>
      <c r="F59" s="141"/>
      <c r="G59" s="136"/>
      <c r="H59" s="138"/>
      <c r="I59" s="136"/>
      <c r="J59" s="138"/>
    </row>
    <row r="60" spans="1:10" ht="15.75" customHeight="1">
      <c r="A60" s="93" t="s">
        <v>627</v>
      </c>
      <c r="B60" s="150" t="s">
        <v>493</v>
      </c>
      <c r="C60" s="103"/>
      <c r="D60" s="103" t="s">
        <v>451</v>
      </c>
      <c r="E60" s="140"/>
      <c r="F60" s="141"/>
      <c r="G60" s="136"/>
      <c r="H60" s="138"/>
      <c r="I60" s="136"/>
      <c r="J60" s="138"/>
    </row>
    <row r="61" spans="1:10" ht="15.75" customHeight="1">
      <c r="A61" s="147" t="s">
        <v>628</v>
      </c>
      <c r="B61" s="148" t="s">
        <v>495</v>
      </c>
      <c r="C61" s="149"/>
      <c r="D61" s="133"/>
      <c r="E61" s="133"/>
      <c r="F61" s="133"/>
      <c r="G61" s="134"/>
      <c r="H61" s="135"/>
      <c r="I61" s="134"/>
      <c r="J61" s="135"/>
    </row>
    <row r="62" spans="1:10" ht="21" customHeight="1">
      <c r="A62" s="107" t="s">
        <v>629</v>
      </c>
      <c r="B62" s="150" t="s">
        <v>497</v>
      </c>
      <c r="C62" s="103"/>
      <c r="D62" s="103" t="s">
        <v>451</v>
      </c>
      <c r="E62" s="136"/>
      <c r="F62" s="138"/>
      <c r="G62" s="136"/>
      <c r="H62" s="138"/>
      <c r="I62" s="136"/>
      <c r="J62" s="138"/>
    </row>
    <row r="63" spans="1:10" ht="28.5" customHeight="1">
      <c r="A63" s="107" t="s">
        <v>630</v>
      </c>
      <c r="B63" s="150" t="s">
        <v>499</v>
      </c>
      <c r="C63" s="103"/>
      <c r="D63" s="103" t="s">
        <v>451</v>
      </c>
      <c r="E63" s="136"/>
      <c r="F63" s="138"/>
      <c r="G63" s="136"/>
      <c r="H63" s="138"/>
      <c r="I63" s="136"/>
      <c r="J63" s="138"/>
    </row>
    <row r="64" spans="1:10" ht="21" customHeight="1">
      <c r="A64" s="107" t="s">
        <v>631</v>
      </c>
      <c r="B64" s="150" t="s">
        <v>501</v>
      </c>
      <c r="C64" s="103"/>
      <c r="D64" s="103" t="s">
        <v>451</v>
      </c>
      <c r="E64" s="136"/>
      <c r="F64" s="138"/>
      <c r="G64" s="136"/>
      <c r="H64" s="138"/>
      <c r="I64" s="136"/>
      <c r="J64" s="138"/>
    </row>
    <row r="65" spans="1:10" ht="15.75" customHeight="1">
      <c r="A65" s="107" t="s">
        <v>632</v>
      </c>
      <c r="B65" s="150" t="s">
        <v>503</v>
      </c>
      <c r="C65" s="103"/>
      <c r="D65" s="103" t="s">
        <v>451</v>
      </c>
      <c r="E65" s="140"/>
      <c r="F65" s="141"/>
      <c r="G65" s="136"/>
      <c r="H65" s="138"/>
      <c r="I65" s="136"/>
      <c r="J65" s="138"/>
    </row>
    <row r="66" spans="1:10" ht="15.75" customHeight="1">
      <c r="A66" s="107" t="s">
        <v>633</v>
      </c>
      <c r="B66" s="150" t="s">
        <v>505</v>
      </c>
      <c r="C66" s="103"/>
      <c r="D66" s="103" t="s">
        <v>451</v>
      </c>
      <c r="E66" s="140"/>
      <c r="F66" s="141"/>
      <c r="G66" s="136"/>
      <c r="H66" s="138"/>
      <c r="I66" s="136"/>
      <c r="J66" s="138"/>
    </row>
    <row r="67" spans="1:10" ht="15.75" customHeight="1">
      <c r="A67" s="107" t="s">
        <v>634</v>
      </c>
      <c r="B67" s="150" t="s">
        <v>507</v>
      </c>
      <c r="C67" s="103"/>
      <c r="D67" s="103" t="s">
        <v>451</v>
      </c>
      <c r="E67" s="140"/>
      <c r="F67" s="141"/>
      <c r="G67" s="136"/>
      <c r="H67" s="138"/>
      <c r="I67" s="136"/>
      <c r="J67" s="138"/>
    </row>
    <row r="68" spans="1:10" ht="14.5">
      <c r="A68" s="107" t="s">
        <v>635</v>
      </c>
      <c r="B68" s="150" t="s">
        <v>509</v>
      </c>
      <c r="C68" s="103"/>
      <c r="D68" s="103" t="s">
        <v>451</v>
      </c>
      <c r="E68" s="140"/>
      <c r="F68" s="141"/>
      <c r="G68" s="136"/>
      <c r="H68" s="138"/>
      <c r="I68" s="136"/>
      <c r="J68" s="138"/>
    </row>
    <row r="69" spans="1:10" ht="15.75" customHeight="1">
      <c r="A69" s="107" t="s">
        <v>636</v>
      </c>
      <c r="B69" s="150" t="s">
        <v>511</v>
      </c>
      <c r="C69" s="103"/>
      <c r="D69" s="103" t="s">
        <v>451</v>
      </c>
      <c r="E69" s="140"/>
      <c r="F69" s="141"/>
      <c r="G69" s="136"/>
      <c r="H69" s="138"/>
      <c r="I69" s="136"/>
      <c r="J69" s="138"/>
    </row>
    <row r="70" spans="1:10" ht="14.5">
      <c r="A70" s="107" t="s">
        <v>637</v>
      </c>
      <c r="B70" s="150" t="s">
        <v>513</v>
      </c>
      <c r="C70" s="103"/>
      <c r="D70" s="103" t="s">
        <v>451</v>
      </c>
      <c r="E70" s="140"/>
      <c r="F70" s="141"/>
      <c r="G70" s="136"/>
      <c r="H70" s="138"/>
      <c r="I70" s="136"/>
      <c r="J70" s="138"/>
    </row>
    <row r="71" spans="1:10" ht="21" customHeight="1">
      <c r="A71" s="107" t="s">
        <v>638</v>
      </c>
      <c r="B71" s="150" t="s">
        <v>515</v>
      </c>
      <c r="C71" s="103"/>
      <c r="D71" s="103" t="s">
        <v>451</v>
      </c>
      <c r="E71" s="140"/>
      <c r="F71" s="141"/>
      <c r="G71" s="136"/>
      <c r="H71" s="138"/>
      <c r="I71" s="136"/>
      <c r="J71" s="138"/>
    </row>
    <row r="72" spans="1:10" ht="15.75" customHeight="1">
      <c r="A72" s="107" t="s">
        <v>639</v>
      </c>
      <c r="B72" s="150" t="s">
        <v>517</v>
      </c>
      <c r="C72" s="103"/>
      <c r="D72" s="103" t="s">
        <v>451</v>
      </c>
      <c r="E72" s="140"/>
      <c r="F72" s="141"/>
      <c r="G72" s="136"/>
      <c r="H72" s="138"/>
      <c r="I72" s="136"/>
      <c r="J72" s="138"/>
    </row>
    <row r="73" spans="1:10" ht="15.75" customHeight="1">
      <c r="A73" s="107" t="s">
        <v>640</v>
      </c>
      <c r="B73" s="150" t="s">
        <v>518</v>
      </c>
      <c r="C73" s="103"/>
      <c r="D73" s="103" t="s">
        <v>451</v>
      </c>
      <c r="E73" s="140"/>
      <c r="F73" s="141"/>
      <c r="G73" s="136"/>
      <c r="H73" s="138"/>
      <c r="I73" s="136"/>
      <c r="J73" s="138"/>
    </row>
    <row r="74" spans="1:10" ht="15.75" customHeight="1">
      <c r="A74" s="107" t="s">
        <v>641</v>
      </c>
      <c r="B74" s="150" t="s">
        <v>519</v>
      </c>
      <c r="C74" s="103"/>
      <c r="D74" s="103" t="s">
        <v>451</v>
      </c>
      <c r="E74" s="140"/>
      <c r="F74" s="141"/>
      <c r="G74" s="136"/>
      <c r="H74" s="138"/>
      <c r="I74" s="136"/>
      <c r="J74" s="138"/>
    </row>
    <row r="75" spans="1:10" ht="14.5">
      <c r="A75" s="107" t="s">
        <v>642</v>
      </c>
      <c r="B75" s="150" t="s">
        <v>520</v>
      </c>
      <c r="C75" s="103"/>
      <c r="D75" s="103" t="s">
        <v>451</v>
      </c>
      <c r="E75" s="140"/>
      <c r="F75" s="141"/>
      <c r="G75" s="136"/>
      <c r="H75" s="138"/>
      <c r="I75" s="136"/>
      <c r="J75" s="138"/>
    </row>
    <row r="76" spans="1:10" ht="15.75" customHeight="1">
      <c r="A76" s="107" t="s">
        <v>643</v>
      </c>
      <c r="B76" s="150" t="s">
        <v>521</v>
      </c>
      <c r="C76" s="103"/>
      <c r="D76" s="103" t="s">
        <v>451</v>
      </c>
      <c r="E76" s="140"/>
      <c r="F76" s="141"/>
      <c r="G76" s="136"/>
      <c r="H76" s="138"/>
      <c r="I76" s="136"/>
      <c r="J76" s="138"/>
    </row>
    <row r="77" spans="1:10" ht="14.5">
      <c r="A77" s="107" t="s">
        <v>644</v>
      </c>
      <c r="B77" s="150" t="s">
        <v>522</v>
      </c>
      <c r="C77" s="103"/>
      <c r="D77" s="103" t="s">
        <v>451</v>
      </c>
      <c r="E77" s="140"/>
      <c r="F77" s="141"/>
      <c r="G77" s="136"/>
      <c r="H77" s="138"/>
      <c r="I77" s="136"/>
      <c r="J77" s="138"/>
    </row>
    <row r="78" spans="1:10" ht="21" customHeight="1">
      <c r="A78" s="107" t="s">
        <v>645</v>
      </c>
      <c r="B78" s="150" t="s">
        <v>523</v>
      </c>
      <c r="C78" s="103"/>
      <c r="D78" s="103" t="s">
        <v>451</v>
      </c>
      <c r="E78" s="140"/>
      <c r="F78" s="141"/>
      <c r="G78" s="136"/>
      <c r="H78" s="138"/>
      <c r="I78" s="136"/>
      <c r="J78" s="138"/>
    </row>
    <row r="79" spans="1:10" ht="15.75" customHeight="1">
      <c r="A79" s="147" t="s">
        <v>646</v>
      </c>
      <c r="B79" s="148" t="s">
        <v>524</v>
      </c>
      <c r="C79" s="149"/>
      <c r="D79" s="133"/>
      <c r="E79" s="133"/>
      <c r="F79" s="133"/>
      <c r="G79" s="134"/>
      <c r="H79" s="135"/>
      <c r="I79" s="134"/>
      <c r="J79" s="135"/>
    </row>
    <row r="80" spans="1:10" ht="15.75" customHeight="1">
      <c r="A80" s="93" t="s">
        <v>647</v>
      </c>
      <c r="B80" s="150" t="s">
        <v>526</v>
      </c>
      <c r="C80" s="103"/>
      <c r="D80" s="103" t="s">
        <v>527</v>
      </c>
      <c r="E80" s="140"/>
      <c r="F80" s="141"/>
      <c r="G80" s="136"/>
      <c r="H80" s="138"/>
      <c r="I80" s="136"/>
      <c r="J80" s="138"/>
    </row>
    <row r="81" spans="1:11" ht="14.5">
      <c r="A81" s="93" t="s">
        <v>648</v>
      </c>
      <c r="B81" s="150" t="s">
        <v>529</v>
      </c>
      <c r="C81" s="103"/>
      <c r="D81" s="103" t="s">
        <v>527</v>
      </c>
      <c r="E81" s="140"/>
      <c r="F81" s="141"/>
      <c r="G81" s="136"/>
      <c r="H81" s="138"/>
      <c r="I81" s="136"/>
      <c r="J81" s="138"/>
    </row>
    <row r="82" spans="1:11" ht="15.75" customHeight="1">
      <c r="A82" s="93" t="s">
        <v>649</v>
      </c>
      <c r="B82" s="150" t="s">
        <v>531</v>
      </c>
      <c r="C82" s="103"/>
      <c r="D82" s="103" t="s">
        <v>527</v>
      </c>
      <c r="E82" s="140"/>
      <c r="F82" s="141"/>
      <c r="G82" s="136"/>
      <c r="H82" s="138"/>
      <c r="I82" s="136"/>
      <c r="J82" s="138"/>
    </row>
    <row r="83" spans="1:11" ht="14.5">
      <c r="A83" s="93" t="s">
        <v>650</v>
      </c>
      <c r="B83" s="150" t="s">
        <v>766</v>
      </c>
      <c r="C83" s="103"/>
      <c r="D83" s="103" t="s">
        <v>532</v>
      </c>
      <c r="E83" s="140"/>
      <c r="F83" s="141"/>
      <c r="G83" s="136"/>
      <c r="H83" s="138"/>
      <c r="I83" s="136"/>
      <c r="J83" s="138"/>
    </row>
    <row r="84" spans="1:11" ht="21" customHeight="1">
      <c r="A84" s="93" t="s">
        <v>651</v>
      </c>
      <c r="B84" s="150" t="s">
        <v>535</v>
      </c>
      <c r="C84" s="103"/>
      <c r="D84" s="103" t="s">
        <v>322</v>
      </c>
      <c r="E84" s="140"/>
      <c r="F84" s="141"/>
      <c r="G84" s="136"/>
      <c r="H84" s="138"/>
      <c r="I84" s="136"/>
      <c r="J84" s="138"/>
    </row>
    <row r="85" spans="1:11" ht="15.75" customHeight="1">
      <c r="A85" s="93" t="s">
        <v>652</v>
      </c>
      <c r="B85" s="150" t="s">
        <v>537</v>
      </c>
      <c r="C85" s="103"/>
      <c r="D85" s="103" t="s">
        <v>527</v>
      </c>
      <c r="E85" s="140"/>
      <c r="F85" s="141"/>
      <c r="G85" s="137"/>
      <c r="H85" s="138"/>
      <c r="I85" s="137"/>
      <c r="J85" s="138"/>
    </row>
    <row r="86" spans="1:11" ht="15.75" customHeight="1">
      <c r="A86" s="93" t="s">
        <v>653</v>
      </c>
      <c r="B86" s="150" t="s">
        <v>538</v>
      </c>
      <c r="C86" s="103"/>
      <c r="D86" s="103" t="s">
        <v>472</v>
      </c>
      <c r="E86" s="142"/>
      <c r="F86" s="143"/>
      <c r="G86" s="144"/>
      <c r="H86" s="145"/>
      <c r="I86" s="144"/>
      <c r="J86" s="145"/>
    </row>
    <row r="87" spans="1:11" ht="15.75" customHeight="1">
      <c r="A87" s="147" t="s">
        <v>654</v>
      </c>
      <c r="B87" s="148" t="s">
        <v>539</v>
      </c>
      <c r="C87" s="149"/>
      <c r="D87" s="133"/>
      <c r="E87" s="133"/>
      <c r="F87" s="133"/>
      <c r="G87" s="134"/>
      <c r="H87" s="135"/>
      <c r="I87" s="134"/>
      <c r="J87" s="135"/>
    </row>
    <row r="88" spans="1:11" ht="15.75" customHeight="1">
      <c r="A88" s="93" t="s">
        <v>655</v>
      </c>
      <c r="B88" s="150" t="s">
        <v>540</v>
      </c>
      <c r="C88" s="103"/>
      <c r="D88" s="103" t="s">
        <v>483</v>
      </c>
      <c r="E88" s="140"/>
      <c r="F88" s="141"/>
      <c r="G88" s="136"/>
      <c r="H88" s="138"/>
      <c r="I88" s="136"/>
      <c r="J88" s="138"/>
    </row>
    <row r="89" spans="1:11" ht="15.75" customHeight="1">
      <c r="A89" s="93" t="s">
        <v>656</v>
      </c>
      <c r="B89" s="150" t="s">
        <v>541</v>
      </c>
      <c r="C89" s="103"/>
      <c r="D89" s="103" t="s">
        <v>483</v>
      </c>
      <c r="E89" s="140"/>
      <c r="F89" s="141"/>
      <c r="G89" s="136"/>
      <c r="H89" s="138"/>
      <c r="I89" s="136"/>
      <c r="J89" s="138"/>
    </row>
    <row r="90" spans="1:11" ht="15.75" customHeight="1">
      <c r="A90" s="93" t="s">
        <v>657</v>
      </c>
      <c r="B90" s="150" t="s">
        <v>542</v>
      </c>
      <c r="C90" s="103"/>
      <c r="D90" s="103" t="s">
        <v>483</v>
      </c>
      <c r="E90" s="140"/>
      <c r="F90" s="141"/>
      <c r="G90" s="136"/>
      <c r="H90" s="138"/>
      <c r="I90" s="136"/>
      <c r="J90" s="138"/>
    </row>
    <row r="91" spans="1:11" ht="14.5">
      <c r="A91" s="93" t="s">
        <v>658</v>
      </c>
      <c r="B91" s="150" t="s">
        <v>543</v>
      </c>
      <c r="C91" s="103"/>
      <c r="D91" s="103" t="s">
        <v>483</v>
      </c>
      <c r="E91" s="140"/>
      <c r="F91" s="141"/>
      <c r="G91" s="136"/>
      <c r="H91" s="138"/>
      <c r="I91" s="136"/>
      <c r="J91" s="138"/>
    </row>
    <row r="92" spans="1:11" ht="15.75" customHeight="1">
      <c r="A92" s="93" t="s">
        <v>659</v>
      </c>
      <c r="B92" s="150" t="s">
        <v>544</v>
      </c>
      <c r="C92" s="103"/>
      <c r="D92" s="103" t="s">
        <v>483</v>
      </c>
      <c r="E92" s="140"/>
      <c r="F92" s="141"/>
      <c r="G92" s="137"/>
      <c r="H92" s="138"/>
      <c r="I92" s="137"/>
      <c r="J92" s="138"/>
    </row>
    <row r="93" spans="1:11" ht="14.5">
      <c r="A93" s="93" t="s">
        <v>660</v>
      </c>
      <c r="B93" s="150" t="s">
        <v>545</v>
      </c>
      <c r="C93" s="103"/>
      <c r="D93" s="103" t="s">
        <v>483</v>
      </c>
      <c r="E93" s="140"/>
      <c r="F93" s="141"/>
      <c r="G93" s="137"/>
      <c r="H93" s="138"/>
      <c r="I93" s="137"/>
      <c r="J93" s="138"/>
    </row>
    <row r="94" spans="1:11" ht="15.75" customHeight="1">
      <c r="A94" s="147" t="s">
        <v>661</v>
      </c>
      <c r="B94" s="148" t="s">
        <v>546</v>
      </c>
      <c r="C94" s="149"/>
      <c r="D94" s="133"/>
      <c r="E94" s="133"/>
      <c r="F94" s="133"/>
      <c r="G94" s="134"/>
      <c r="H94" s="135"/>
      <c r="I94" s="134"/>
      <c r="J94" s="135"/>
    </row>
    <row r="95" spans="1:11" ht="28.5" customHeight="1">
      <c r="A95" s="93" t="s">
        <v>662</v>
      </c>
      <c r="B95" s="150" t="s">
        <v>547</v>
      </c>
      <c r="C95" s="103"/>
      <c r="D95" s="103" t="s">
        <v>532</v>
      </c>
      <c r="E95" s="140"/>
      <c r="F95" s="141"/>
      <c r="G95" s="136"/>
      <c r="H95" s="138"/>
      <c r="I95" s="136"/>
      <c r="J95" s="138"/>
      <c r="K95" s="77"/>
    </row>
    <row r="96" spans="1:11" ht="21" customHeight="1">
      <c r="A96" s="93" t="s">
        <v>663</v>
      </c>
      <c r="B96" s="150" t="s">
        <v>548</v>
      </c>
      <c r="C96" s="103"/>
      <c r="D96" s="103" t="s">
        <v>483</v>
      </c>
      <c r="E96" s="140"/>
      <c r="F96" s="141"/>
      <c r="G96" s="136"/>
      <c r="H96" s="138"/>
      <c r="I96" s="136"/>
      <c r="J96" s="138"/>
    </row>
    <row r="97" spans="1:11" ht="15.75" customHeight="1">
      <c r="A97" s="93" t="s">
        <v>664</v>
      </c>
      <c r="B97" s="150" t="s">
        <v>549</v>
      </c>
      <c r="C97" s="103"/>
      <c r="D97" s="103" t="s">
        <v>483</v>
      </c>
      <c r="E97" s="140"/>
      <c r="F97" s="141"/>
      <c r="G97" s="136"/>
      <c r="H97" s="138"/>
      <c r="I97" s="136"/>
      <c r="J97" s="138"/>
      <c r="K97" s="78"/>
    </row>
    <row r="98" spans="1:11" ht="15.75" customHeight="1">
      <c r="A98" s="93" t="s">
        <v>665</v>
      </c>
      <c r="B98" s="150" t="s">
        <v>550</v>
      </c>
      <c r="C98" s="103"/>
      <c r="D98" s="103" t="s">
        <v>322</v>
      </c>
      <c r="E98" s="140"/>
      <c r="F98" s="141"/>
      <c r="G98" s="136"/>
      <c r="H98" s="138"/>
      <c r="I98" s="136"/>
      <c r="J98" s="138"/>
    </row>
    <row r="99" spans="1:11" ht="15.75" customHeight="1">
      <c r="A99" s="93" t="s">
        <v>666</v>
      </c>
      <c r="B99" s="150" t="s">
        <v>551</v>
      </c>
      <c r="C99" s="103"/>
      <c r="D99" s="103" t="s">
        <v>322</v>
      </c>
      <c r="E99" s="140"/>
      <c r="F99" s="141"/>
      <c r="G99" s="136"/>
      <c r="H99" s="138"/>
      <c r="I99" s="136"/>
      <c r="J99" s="138"/>
    </row>
    <row r="100" spans="1:11" ht="14.5">
      <c r="A100" s="93" t="s">
        <v>667</v>
      </c>
      <c r="B100" s="150" t="s">
        <v>552</v>
      </c>
      <c r="C100" s="103"/>
      <c r="D100" s="103" t="s">
        <v>483</v>
      </c>
      <c r="E100" s="140"/>
      <c r="F100" s="141"/>
      <c r="G100" s="136"/>
      <c r="H100" s="138"/>
      <c r="I100" s="136"/>
      <c r="J100" s="138"/>
    </row>
    <row r="101" spans="1:11" ht="15.75" customHeight="1">
      <c r="A101" s="93" t="s">
        <v>668</v>
      </c>
      <c r="B101" s="150" t="s">
        <v>553</v>
      </c>
      <c r="C101" s="103"/>
      <c r="D101" s="103" t="s">
        <v>483</v>
      </c>
      <c r="E101" s="140"/>
      <c r="F101" s="141"/>
      <c r="G101" s="136"/>
      <c r="H101" s="138"/>
      <c r="I101" s="136"/>
      <c r="J101" s="138"/>
    </row>
    <row r="102" spans="1:11" ht="14.5">
      <c r="A102" s="93" t="s">
        <v>669</v>
      </c>
      <c r="B102" s="150" t="s">
        <v>554</v>
      </c>
      <c r="C102" s="103"/>
      <c r="D102" s="103" t="s">
        <v>322</v>
      </c>
      <c r="E102" s="140"/>
      <c r="F102" s="141"/>
      <c r="G102" s="136"/>
      <c r="H102" s="138"/>
      <c r="I102" s="136"/>
      <c r="J102" s="138"/>
    </row>
    <row r="103" spans="1:11" ht="21" customHeight="1">
      <c r="A103" s="93" t="s">
        <v>670</v>
      </c>
      <c r="B103" s="150" t="s">
        <v>555</v>
      </c>
      <c r="C103" s="103"/>
      <c r="D103" s="103" t="s">
        <v>322</v>
      </c>
      <c r="E103" s="140"/>
      <c r="F103" s="141"/>
      <c r="G103" s="136"/>
      <c r="H103" s="138"/>
      <c r="I103" s="136"/>
      <c r="J103" s="138"/>
    </row>
    <row r="104" spans="1:11" ht="15.75" customHeight="1">
      <c r="A104" s="93" t="s">
        <v>671</v>
      </c>
      <c r="B104" s="150" t="s">
        <v>556</v>
      </c>
      <c r="C104" s="103"/>
      <c r="D104" s="103" t="s">
        <v>322</v>
      </c>
      <c r="E104" s="140"/>
      <c r="F104" s="141"/>
      <c r="G104" s="136"/>
      <c r="H104" s="138"/>
      <c r="I104" s="136"/>
      <c r="J104" s="138"/>
    </row>
    <row r="105" spans="1:11" ht="15.75" customHeight="1">
      <c r="A105" s="93" t="s">
        <v>672</v>
      </c>
      <c r="B105" s="150" t="s">
        <v>557</v>
      </c>
      <c r="C105" s="103"/>
      <c r="D105" s="103" t="s">
        <v>322</v>
      </c>
      <c r="E105" s="140"/>
      <c r="F105" s="141"/>
      <c r="G105" s="136"/>
      <c r="H105" s="138"/>
      <c r="I105" s="136"/>
      <c r="J105" s="138"/>
    </row>
    <row r="106" spans="1:11" ht="15.75" customHeight="1">
      <c r="A106" s="93" t="s">
        <v>673</v>
      </c>
      <c r="B106" s="150" t="s">
        <v>558</v>
      </c>
      <c r="C106" s="103"/>
      <c r="D106" s="103" t="s">
        <v>483</v>
      </c>
      <c r="E106" s="140"/>
      <c r="F106" s="141"/>
      <c r="G106" s="136"/>
      <c r="H106" s="138"/>
      <c r="I106" s="136"/>
      <c r="J106" s="138"/>
    </row>
    <row r="107" spans="1:11" ht="14.5">
      <c r="A107" s="93" t="s">
        <v>674</v>
      </c>
      <c r="B107" s="150" t="s">
        <v>559</v>
      </c>
      <c r="C107" s="103"/>
      <c r="D107" s="103" t="s">
        <v>483</v>
      </c>
      <c r="E107" s="140"/>
      <c r="F107" s="141"/>
      <c r="G107" s="136"/>
      <c r="H107" s="138"/>
      <c r="I107" s="136"/>
      <c r="J107" s="138"/>
    </row>
    <row r="108" spans="1:11" ht="15.75" customHeight="1">
      <c r="A108" s="93" t="s">
        <v>675</v>
      </c>
      <c r="B108" s="150" t="s">
        <v>560</v>
      </c>
      <c r="C108" s="103"/>
      <c r="D108" s="103" t="s">
        <v>451</v>
      </c>
      <c r="E108" s="140"/>
      <c r="F108" s="141"/>
      <c r="G108" s="136"/>
      <c r="H108" s="138"/>
      <c r="I108" s="136"/>
      <c r="J108" s="138"/>
    </row>
    <row r="109" spans="1:11" ht="14.5">
      <c r="A109" s="93" t="s">
        <v>676</v>
      </c>
      <c r="B109" s="150" t="s">
        <v>561</v>
      </c>
      <c r="C109" s="103"/>
      <c r="D109" s="103" t="s">
        <v>451</v>
      </c>
      <c r="E109" s="140"/>
      <c r="F109" s="141"/>
      <c r="G109" s="136"/>
      <c r="H109" s="138"/>
      <c r="I109" s="136"/>
      <c r="J109" s="138"/>
    </row>
    <row r="110" spans="1:11" ht="21" customHeight="1">
      <c r="A110" s="93" t="s">
        <v>677</v>
      </c>
      <c r="B110" s="150" t="s">
        <v>562</v>
      </c>
      <c r="C110" s="103"/>
      <c r="D110" s="103" t="s">
        <v>451</v>
      </c>
      <c r="E110" s="140"/>
      <c r="F110" s="141"/>
      <c r="G110" s="136"/>
      <c r="H110" s="138"/>
      <c r="I110" s="136"/>
      <c r="J110" s="138"/>
    </row>
    <row r="111" spans="1:11" ht="15.75" customHeight="1">
      <c r="A111" s="93" t="s">
        <v>678</v>
      </c>
      <c r="B111" s="150" t="s">
        <v>563</v>
      </c>
      <c r="C111" s="103"/>
      <c r="D111" s="103" t="s">
        <v>451</v>
      </c>
      <c r="E111" s="140"/>
      <c r="F111" s="141"/>
      <c r="G111" s="136"/>
      <c r="H111" s="138"/>
      <c r="I111" s="136"/>
      <c r="J111" s="138"/>
    </row>
    <row r="112" spans="1:11" ht="15.75" customHeight="1">
      <c r="A112" s="147" t="s">
        <v>679</v>
      </c>
      <c r="B112" s="148" t="s">
        <v>564</v>
      </c>
      <c r="C112" s="149"/>
      <c r="D112" s="133"/>
      <c r="E112" s="133"/>
      <c r="F112" s="133"/>
      <c r="G112" s="134"/>
      <c r="H112" s="135"/>
      <c r="I112" s="134"/>
      <c r="J112" s="135"/>
    </row>
    <row r="113" spans="1:10" ht="14.5">
      <c r="A113" s="93" t="s">
        <v>680</v>
      </c>
      <c r="B113" s="150" t="s">
        <v>565</v>
      </c>
      <c r="C113" s="103"/>
      <c r="D113" s="103" t="s">
        <v>309</v>
      </c>
      <c r="E113" s="140"/>
      <c r="F113" s="141"/>
      <c r="G113" s="136"/>
      <c r="H113" s="138"/>
      <c r="I113" s="136"/>
      <c r="J113" s="138"/>
    </row>
    <row r="114" spans="1:10" ht="15.75" customHeight="1">
      <c r="A114" s="93" t="s">
        <v>681</v>
      </c>
      <c r="B114" s="150" t="s">
        <v>566</v>
      </c>
      <c r="C114" s="103"/>
      <c r="D114" s="103" t="s">
        <v>322</v>
      </c>
      <c r="E114" s="140"/>
      <c r="F114" s="141"/>
      <c r="G114" s="136"/>
      <c r="H114" s="138"/>
      <c r="I114" s="136"/>
      <c r="J114" s="138"/>
    </row>
    <row r="115" spans="1:10" ht="15.75" customHeight="1">
      <c r="A115" s="93" t="s">
        <v>682</v>
      </c>
      <c r="B115" s="150" t="s">
        <v>567</v>
      </c>
      <c r="C115" s="103"/>
      <c r="D115" s="103" t="s">
        <v>322</v>
      </c>
      <c r="E115" s="140"/>
      <c r="F115" s="141"/>
      <c r="G115" s="136"/>
      <c r="H115" s="138"/>
      <c r="I115" s="136"/>
      <c r="J115" s="138"/>
    </row>
    <row r="116" spans="1:10" ht="14.5">
      <c r="A116" s="93" t="s">
        <v>683</v>
      </c>
      <c r="B116" s="150" t="s">
        <v>568</v>
      </c>
      <c r="C116" s="103"/>
      <c r="D116" s="103" t="s">
        <v>322</v>
      </c>
      <c r="E116" s="140"/>
      <c r="F116" s="141"/>
      <c r="G116" s="136"/>
      <c r="H116" s="138"/>
      <c r="I116" s="136"/>
      <c r="J116" s="138"/>
    </row>
    <row r="117" spans="1:10" ht="15.75" customHeight="1">
      <c r="A117" s="93" t="s">
        <v>684</v>
      </c>
      <c r="B117" s="150" t="s">
        <v>569</v>
      </c>
      <c r="C117" s="103"/>
      <c r="D117" s="103" t="s">
        <v>527</v>
      </c>
      <c r="E117" s="140"/>
      <c r="F117" s="141"/>
      <c r="G117" s="136"/>
      <c r="H117" s="138"/>
      <c r="I117" s="136"/>
      <c r="J117" s="138"/>
    </row>
    <row r="118" spans="1:10" ht="15.75" customHeight="1">
      <c r="A118" s="147" t="s">
        <v>685</v>
      </c>
      <c r="B118" s="148" t="s">
        <v>570</v>
      </c>
      <c r="C118" s="149"/>
      <c r="D118" s="133"/>
      <c r="E118" s="133"/>
      <c r="F118" s="133"/>
      <c r="G118" s="134"/>
      <c r="H118" s="135"/>
      <c r="I118" s="134"/>
      <c r="J118" s="135"/>
    </row>
    <row r="119" spans="1:10" ht="21" customHeight="1">
      <c r="A119" s="152" t="s">
        <v>686</v>
      </c>
      <c r="B119" s="150" t="s">
        <v>571</v>
      </c>
      <c r="C119" s="103"/>
      <c r="D119" s="103" t="s">
        <v>309</v>
      </c>
      <c r="E119" s="140"/>
      <c r="F119" s="141"/>
      <c r="G119" s="137"/>
      <c r="H119" s="138"/>
      <c r="I119" s="137"/>
      <c r="J119" s="138"/>
    </row>
    <row r="120" spans="1:10" ht="15.75" customHeight="1">
      <c r="A120" s="152" t="s">
        <v>687</v>
      </c>
      <c r="B120" s="150" t="s">
        <v>572</v>
      </c>
      <c r="C120" s="103"/>
      <c r="D120" s="103" t="s">
        <v>309</v>
      </c>
      <c r="E120" s="140"/>
      <c r="F120" s="141"/>
      <c r="G120" s="137"/>
      <c r="H120" s="138"/>
      <c r="I120" s="137"/>
      <c r="J120" s="138"/>
    </row>
    <row r="121" spans="1:10" ht="15.75" customHeight="1">
      <c r="A121" s="152" t="s">
        <v>688</v>
      </c>
      <c r="B121" s="150" t="s">
        <v>573</v>
      </c>
      <c r="C121" s="103"/>
      <c r="D121" s="103" t="s">
        <v>309</v>
      </c>
      <c r="E121" s="140"/>
      <c r="F121" s="141"/>
      <c r="G121" s="137"/>
      <c r="H121" s="138"/>
      <c r="I121" s="137"/>
      <c r="J121" s="138"/>
    </row>
    <row r="122" spans="1:10" ht="15.75" customHeight="1">
      <c r="A122" s="152" t="s">
        <v>689</v>
      </c>
      <c r="B122" s="150" t="s">
        <v>574</v>
      </c>
      <c r="C122" s="103"/>
      <c r="D122" s="103" t="s">
        <v>309</v>
      </c>
      <c r="E122" s="140"/>
      <c r="F122" s="141"/>
      <c r="G122" s="137"/>
      <c r="H122" s="138"/>
      <c r="I122" s="137"/>
      <c r="J122" s="138"/>
    </row>
    <row r="123" spans="1:10" ht="15.75" customHeight="1">
      <c r="A123" s="152" t="s">
        <v>690</v>
      </c>
      <c r="B123" s="150" t="s">
        <v>575</v>
      </c>
      <c r="C123" s="103"/>
      <c r="D123" s="103" t="s">
        <v>527</v>
      </c>
      <c r="E123" s="140"/>
      <c r="F123" s="141"/>
      <c r="G123" s="137"/>
      <c r="H123" s="138"/>
      <c r="I123" s="137"/>
      <c r="J123" s="138"/>
    </row>
    <row r="124" spans="1:10" ht="15.75" customHeight="1">
      <c r="A124" s="152" t="s">
        <v>691</v>
      </c>
      <c r="B124" s="150" t="s">
        <v>576</v>
      </c>
      <c r="C124" s="103"/>
      <c r="D124" s="103" t="s">
        <v>309</v>
      </c>
      <c r="E124" s="140"/>
      <c r="F124" s="141"/>
      <c r="G124" s="137"/>
      <c r="H124" s="138"/>
      <c r="I124" s="137"/>
      <c r="J124" s="138"/>
    </row>
    <row r="125" spans="1:10" ht="15.75" customHeight="1">
      <c r="A125" s="152" t="s">
        <v>692</v>
      </c>
      <c r="B125" s="150" t="s">
        <v>577</v>
      </c>
      <c r="C125" s="103"/>
      <c r="D125" s="103" t="s">
        <v>309</v>
      </c>
      <c r="E125" s="140"/>
      <c r="F125" s="141"/>
      <c r="G125" s="137"/>
      <c r="H125" s="138"/>
      <c r="I125" s="137"/>
      <c r="J125" s="138"/>
    </row>
    <row r="126" spans="1:10" ht="15.75" customHeight="1">
      <c r="A126" s="152" t="s">
        <v>693</v>
      </c>
      <c r="B126" s="150" t="s">
        <v>578</v>
      </c>
      <c r="C126" s="103"/>
      <c r="D126" s="103" t="s">
        <v>309</v>
      </c>
      <c r="E126" s="140"/>
      <c r="F126" s="141"/>
      <c r="G126" s="137"/>
      <c r="H126" s="138"/>
      <c r="I126" s="137"/>
      <c r="J126" s="138"/>
    </row>
    <row r="127" spans="1:10" ht="15.75" customHeight="1">
      <c r="A127" s="152" t="s">
        <v>694</v>
      </c>
      <c r="B127" s="150" t="s">
        <v>579</v>
      </c>
      <c r="C127" s="103"/>
      <c r="D127" s="103" t="s">
        <v>309</v>
      </c>
      <c r="E127" s="140"/>
      <c r="F127" s="138"/>
      <c r="G127" s="137"/>
      <c r="H127" s="138"/>
      <c r="I127" s="137"/>
      <c r="J127" s="138"/>
    </row>
    <row r="128" spans="1:10" ht="15.75" customHeight="1">
      <c r="A128" s="152" t="s">
        <v>695</v>
      </c>
      <c r="B128" s="150" t="s">
        <v>580</v>
      </c>
      <c r="C128" s="103"/>
      <c r="D128" s="103" t="s">
        <v>309</v>
      </c>
      <c r="E128" s="140"/>
      <c r="F128" s="141"/>
      <c r="G128" s="137"/>
      <c r="H128" s="138"/>
      <c r="I128" s="137"/>
      <c r="J128" s="138"/>
    </row>
    <row r="129" spans="1:10" ht="21" customHeight="1">
      <c r="A129" s="152" t="s">
        <v>696</v>
      </c>
      <c r="B129" s="150" t="s">
        <v>767</v>
      </c>
      <c r="C129" s="103"/>
      <c r="D129" s="103"/>
      <c r="E129" s="140"/>
      <c r="F129" s="141"/>
      <c r="G129" s="137"/>
      <c r="H129" s="138"/>
      <c r="I129" s="137"/>
      <c r="J129" s="138"/>
    </row>
    <row r="130" spans="1:10" ht="15.75" customHeight="1">
      <c r="A130" s="152" t="s">
        <v>697</v>
      </c>
      <c r="B130" s="150" t="s">
        <v>581</v>
      </c>
      <c r="C130" s="103"/>
      <c r="D130" s="103" t="s">
        <v>309</v>
      </c>
      <c r="E130" s="140"/>
      <c r="F130" s="141"/>
      <c r="G130" s="137"/>
      <c r="H130" s="138"/>
      <c r="I130" s="137"/>
      <c r="J130" s="138"/>
    </row>
    <row r="131" spans="1:10" ht="15.75" customHeight="1">
      <c r="A131" s="152" t="s">
        <v>698</v>
      </c>
      <c r="B131" s="150" t="s">
        <v>582</v>
      </c>
      <c r="C131" s="103"/>
      <c r="D131" s="103" t="s">
        <v>527</v>
      </c>
      <c r="E131" s="140"/>
      <c r="F131" s="141"/>
      <c r="G131" s="137"/>
      <c r="H131" s="138"/>
      <c r="I131" s="137"/>
      <c r="J131" s="138"/>
    </row>
    <row r="132" spans="1:10" ht="15.75" customHeight="1">
      <c r="A132" s="147" t="s">
        <v>699</v>
      </c>
      <c r="B132" s="148" t="s">
        <v>583</v>
      </c>
      <c r="C132" s="149"/>
      <c r="D132" s="133"/>
      <c r="E132" s="133"/>
      <c r="F132" s="133"/>
      <c r="G132" s="134"/>
      <c r="H132" s="135"/>
      <c r="I132" s="134"/>
      <c r="J132" s="135"/>
    </row>
    <row r="133" spans="1:10" ht="14.5">
      <c r="A133" s="93" t="s">
        <v>700</v>
      </c>
      <c r="B133" s="150" t="s">
        <v>584</v>
      </c>
      <c r="C133" s="103"/>
      <c r="D133" s="103" t="s">
        <v>84</v>
      </c>
      <c r="E133" s="140"/>
      <c r="F133" s="141"/>
      <c r="G133" s="137"/>
      <c r="H133" s="138"/>
      <c r="I133" s="137"/>
      <c r="J133" s="138"/>
    </row>
    <row r="134" spans="1:10" ht="15.75" customHeight="1">
      <c r="A134" s="93" t="s">
        <v>701</v>
      </c>
      <c r="B134" s="150" t="s">
        <v>585</v>
      </c>
      <c r="C134" s="103"/>
      <c r="D134" s="103" t="s">
        <v>322</v>
      </c>
      <c r="E134" s="140"/>
      <c r="F134" s="141"/>
      <c r="G134" s="137"/>
      <c r="H134" s="138"/>
      <c r="I134" s="137"/>
      <c r="J134" s="138"/>
    </row>
    <row r="135" spans="1:10" ht="14.5">
      <c r="A135" s="93" t="s">
        <v>702</v>
      </c>
      <c r="B135" s="150" t="s">
        <v>586</v>
      </c>
      <c r="C135" s="103"/>
      <c r="D135" s="103" t="s">
        <v>322</v>
      </c>
      <c r="E135" s="140"/>
      <c r="F135" s="141"/>
      <c r="G135" s="137"/>
      <c r="H135" s="138"/>
      <c r="I135" s="137"/>
      <c r="J135" s="138"/>
    </row>
    <row r="136" spans="1:10" ht="15.75" customHeight="1">
      <c r="A136" s="93" t="s">
        <v>703</v>
      </c>
      <c r="B136" s="150" t="s">
        <v>587</v>
      </c>
      <c r="C136" s="103"/>
      <c r="D136" s="103" t="s">
        <v>84</v>
      </c>
      <c r="E136" s="140"/>
      <c r="F136" s="141"/>
      <c r="G136" s="137"/>
      <c r="H136" s="138"/>
      <c r="I136" s="137"/>
      <c r="J136" s="138"/>
    </row>
    <row r="137" spans="1:10" ht="15.75" customHeight="1">
      <c r="A137" s="93" t="s">
        <v>704</v>
      </c>
      <c r="B137" s="150" t="s">
        <v>588</v>
      </c>
      <c r="C137" s="103"/>
      <c r="D137" s="103" t="s">
        <v>483</v>
      </c>
      <c r="E137" s="140"/>
      <c r="F137" s="141"/>
      <c r="G137" s="137"/>
      <c r="H137" s="138"/>
      <c r="I137" s="137"/>
      <c r="J137" s="138"/>
    </row>
    <row r="138" spans="1:10" ht="15.75" customHeight="1">
      <c r="A138" s="93" t="s">
        <v>705</v>
      </c>
      <c r="B138" s="150" t="s">
        <v>589</v>
      </c>
      <c r="C138" s="103"/>
      <c r="D138" s="103" t="s">
        <v>322</v>
      </c>
      <c r="E138" s="140"/>
      <c r="F138" s="141"/>
      <c r="G138" s="137"/>
      <c r="H138" s="138"/>
      <c r="I138" s="137"/>
      <c r="J138" s="138"/>
    </row>
    <row r="139" spans="1:10" ht="21" customHeight="1">
      <c r="A139" s="93" t="s">
        <v>706</v>
      </c>
      <c r="B139" s="150" t="s">
        <v>590</v>
      </c>
      <c r="C139" s="103"/>
      <c r="D139" s="103" t="s">
        <v>322</v>
      </c>
      <c r="E139" s="140"/>
      <c r="F139" s="141"/>
      <c r="G139" s="137"/>
      <c r="H139" s="138"/>
      <c r="I139" s="137"/>
      <c r="J139" s="138"/>
    </row>
    <row r="140" spans="1:10" ht="15.75" customHeight="1">
      <c r="A140" s="93" t="s">
        <v>707</v>
      </c>
      <c r="B140" s="150" t="s">
        <v>556</v>
      </c>
      <c r="C140" s="103"/>
      <c r="D140" s="103" t="s">
        <v>322</v>
      </c>
      <c r="E140" s="140"/>
      <c r="F140" s="141"/>
      <c r="G140" s="137"/>
      <c r="H140" s="138"/>
      <c r="I140" s="137"/>
      <c r="J140" s="138"/>
    </row>
    <row r="141" spans="1:10" ht="15.75" customHeight="1">
      <c r="A141" s="147" t="s">
        <v>708</v>
      </c>
      <c r="B141" s="148" t="s">
        <v>591</v>
      </c>
      <c r="C141" s="149"/>
      <c r="D141" s="133"/>
      <c r="E141" s="133"/>
      <c r="F141" s="133"/>
      <c r="G141" s="134"/>
      <c r="H141" s="135"/>
      <c r="I141" s="134"/>
      <c r="J141" s="135"/>
    </row>
    <row r="142" spans="1:10" ht="15.75" customHeight="1">
      <c r="A142" s="190" t="s">
        <v>772</v>
      </c>
      <c r="B142" s="190"/>
      <c r="C142" s="190"/>
      <c r="D142" s="190"/>
      <c r="E142" s="44"/>
      <c r="F142" s="44"/>
      <c r="G142" s="137"/>
      <c r="H142" s="139"/>
      <c r="I142" s="46"/>
      <c r="J142" s="139"/>
    </row>
    <row r="143" spans="1:10" ht="24.75" customHeight="1">
      <c r="A143" s="2" t="s">
        <v>105</v>
      </c>
      <c r="B143" s="205" t="s">
        <v>595</v>
      </c>
      <c r="C143" s="205"/>
      <c r="D143" s="205"/>
      <c r="E143" s="205"/>
      <c r="F143" s="205"/>
      <c r="G143" s="205"/>
      <c r="H143" s="205"/>
      <c r="I143" s="205"/>
      <c r="J143" s="205"/>
    </row>
    <row r="144" spans="1:10" ht="24" customHeight="1">
      <c r="A144" s="131" t="s">
        <v>450</v>
      </c>
      <c r="B144" s="132" t="s">
        <v>132</v>
      </c>
      <c r="C144" s="133"/>
      <c r="D144" s="133"/>
      <c r="E144" s="133"/>
      <c r="F144" s="133"/>
      <c r="G144" s="134"/>
      <c r="H144" s="135"/>
      <c r="I144" s="134"/>
      <c r="J144" s="135"/>
    </row>
    <row r="145" spans="1:10" ht="24" customHeight="1">
      <c r="A145" s="107" t="s">
        <v>709</v>
      </c>
      <c r="B145" s="101" t="s">
        <v>134</v>
      </c>
      <c r="C145" s="102"/>
      <c r="D145" s="103" t="s">
        <v>135</v>
      </c>
      <c r="E145" s="104"/>
      <c r="F145" s="104"/>
      <c r="G145" s="104"/>
      <c r="H145" s="104"/>
      <c r="I145" s="104"/>
      <c r="J145" s="104"/>
    </row>
    <row r="146" spans="1:10" ht="24" customHeight="1">
      <c r="A146" s="107" t="s">
        <v>710</v>
      </c>
      <c r="B146" s="101" t="s">
        <v>137</v>
      </c>
      <c r="C146" s="102"/>
      <c r="D146" s="103" t="s">
        <v>135</v>
      </c>
      <c r="E146" s="104"/>
      <c r="F146" s="104"/>
      <c r="G146" s="104"/>
      <c r="H146" s="104"/>
      <c r="I146" s="104"/>
      <c r="J146" s="104"/>
    </row>
    <row r="147" spans="1:10" ht="17.25" customHeight="1">
      <c r="A147" s="107" t="s">
        <v>711</v>
      </c>
      <c r="B147" s="101" t="s">
        <v>139</v>
      </c>
      <c r="C147" s="102"/>
      <c r="D147" s="103" t="s">
        <v>135</v>
      </c>
      <c r="E147" s="104"/>
      <c r="F147" s="104"/>
      <c r="G147" s="104"/>
      <c r="H147" s="104"/>
      <c r="I147" s="104"/>
      <c r="J147" s="104"/>
    </row>
    <row r="148" spans="1:10" ht="14.5">
      <c r="A148" s="107" t="s">
        <v>712</v>
      </c>
      <c r="B148" s="101" t="s">
        <v>141</v>
      </c>
      <c r="C148" s="102"/>
      <c r="D148" s="103" t="s">
        <v>135</v>
      </c>
      <c r="E148" s="104"/>
      <c r="F148" s="104"/>
      <c r="G148" s="104"/>
      <c r="H148" s="104"/>
      <c r="I148" s="104"/>
      <c r="J148" s="104"/>
    </row>
    <row r="149" spans="1:10" ht="14.5">
      <c r="A149" s="107" t="s">
        <v>713</v>
      </c>
      <c r="B149" s="101" t="s">
        <v>143</v>
      </c>
      <c r="C149" s="102"/>
      <c r="D149" s="103" t="s">
        <v>135</v>
      </c>
      <c r="E149" s="104"/>
      <c r="F149" s="104"/>
      <c r="G149" s="104"/>
      <c r="H149" s="104"/>
      <c r="I149" s="104"/>
      <c r="J149" s="104"/>
    </row>
    <row r="150" spans="1:10" ht="14.5">
      <c r="A150" s="131" t="s">
        <v>452</v>
      </c>
      <c r="B150" s="132" t="s">
        <v>145</v>
      </c>
      <c r="C150" s="133"/>
      <c r="D150" s="133"/>
      <c r="E150" s="133"/>
      <c r="F150" s="133"/>
      <c r="G150" s="134"/>
      <c r="H150" s="135"/>
      <c r="I150" s="134"/>
      <c r="J150" s="135"/>
    </row>
    <row r="151" spans="1:10" ht="14.5">
      <c r="A151" s="107" t="s">
        <v>714</v>
      </c>
      <c r="B151" s="101" t="s">
        <v>147</v>
      </c>
      <c r="C151" s="102"/>
      <c r="D151" s="103" t="s">
        <v>135</v>
      </c>
      <c r="E151" s="104"/>
      <c r="F151" s="104"/>
      <c r="G151" s="104"/>
      <c r="H151" s="104"/>
      <c r="I151" s="104"/>
      <c r="J151" s="104"/>
    </row>
    <row r="152" spans="1:10" ht="14.5">
      <c r="A152" s="107" t="s">
        <v>715</v>
      </c>
      <c r="B152" s="101" t="s">
        <v>149</v>
      </c>
      <c r="C152" s="102"/>
      <c r="D152" s="103" t="s">
        <v>135</v>
      </c>
      <c r="E152" s="104"/>
      <c r="F152" s="104"/>
      <c r="G152" s="104"/>
      <c r="H152" s="104"/>
      <c r="I152" s="104"/>
      <c r="J152" s="104"/>
    </row>
    <row r="153" spans="1:10" ht="14.5">
      <c r="A153" s="107" t="s">
        <v>716</v>
      </c>
      <c r="B153" s="101" t="s">
        <v>151</v>
      </c>
      <c r="C153" s="102"/>
      <c r="D153" s="103" t="s">
        <v>135</v>
      </c>
      <c r="E153" s="104"/>
      <c r="F153" s="104"/>
      <c r="G153" s="104"/>
      <c r="H153" s="104"/>
      <c r="I153" s="104"/>
      <c r="J153" s="104"/>
    </row>
    <row r="154" spans="1:10" ht="14.5">
      <c r="A154" s="107" t="s">
        <v>717</v>
      </c>
      <c r="B154" s="101" t="s">
        <v>153</v>
      </c>
      <c r="C154" s="102"/>
      <c r="D154" s="103" t="s">
        <v>135</v>
      </c>
      <c r="E154" s="104"/>
      <c r="F154" s="104"/>
      <c r="G154" s="104"/>
      <c r="H154" s="104"/>
      <c r="I154" s="104"/>
      <c r="J154" s="104"/>
    </row>
    <row r="155" spans="1:10" ht="14.5">
      <c r="A155" s="107" t="s">
        <v>718</v>
      </c>
      <c r="B155" s="101" t="s">
        <v>155</v>
      </c>
      <c r="C155" s="102"/>
      <c r="D155" s="103" t="s">
        <v>135</v>
      </c>
      <c r="E155" s="104"/>
      <c r="F155" s="104"/>
      <c r="G155" s="104"/>
      <c r="H155" s="104"/>
      <c r="I155" s="104"/>
      <c r="J155" s="104"/>
    </row>
    <row r="156" spans="1:10" ht="14.5">
      <c r="A156" s="107" t="s">
        <v>719</v>
      </c>
      <c r="B156" s="101" t="s">
        <v>157</v>
      </c>
      <c r="C156" s="102"/>
      <c r="D156" s="103" t="s">
        <v>135</v>
      </c>
      <c r="E156" s="104"/>
      <c r="F156" s="104"/>
      <c r="G156" s="104"/>
      <c r="H156" s="104"/>
      <c r="I156" s="104"/>
      <c r="J156" s="104"/>
    </row>
    <row r="157" spans="1:10" ht="14.5">
      <c r="A157" s="107" t="s">
        <v>720</v>
      </c>
      <c r="B157" s="101" t="s">
        <v>328</v>
      </c>
      <c r="C157" s="102"/>
      <c r="D157" s="103" t="s">
        <v>135</v>
      </c>
      <c r="E157" s="104"/>
      <c r="F157" s="104"/>
      <c r="G157" s="104"/>
      <c r="H157" s="104"/>
      <c r="I157" s="104"/>
      <c r="J157" s="104"/>
    </row>
    <row r="158" spans="1:10" ht="14.5">
      <c r="A158" s="131" t="s">
        <v>453</v>
      </c>
      <c r="B158" s="132" t="s">
        <v>160</v>
      </c>
      <c r="C158" s="133"/>
      <c r="D158" s="133"/>
      <c r="E158" s="133"/>
      <c r="F158" s="133"/>
      <c r="G158" s="134"/>
      <c r="H158" s="135"/>
      <c r="I158" s="134"/>
      <c r="J158" s="135"/>
    </row>
    <row r="159" spans="1:10" ht="14.5">
      <c r="A159" s="107" t="s">
        <v>721</v>
      </c>
      <c r="B159" s="101" t="s">
        <v>162</v>
      </c>
      <c r="C159" s="102"/>
      <c r="D159" s="103" t="s">
        <v>135</v>
      </c>
      <c r="E159" s="104"/>
      <c r="F159" s="104"/>
      <c r="G159" s="104"/>
      <c r="H159" s="104"/>
      <c r="I159" s="104"/>
      <c r="J159" s="104"/>
    </row>
    <row r="160" spans="1:10" ht="14.5">
      <c r="A160" s="107" t="s">
        <v>722</v>
      </c>
      <c r="B160" s="101" t="s">
        <v>780</v>
      </c>
      <c r="C160" s="102"/>
      <c r="D160" s="103" t="s">
        <v>135</v>
      </c>
      <c r="E160" s="104"/>
      <c r="F160" s="104"/>
      <c r="G160" s="104"/>
      <c r="H160" s="104"/>
      <c r="I160" s="104"/>
      <c r="J160" s="104"/>
    </row>
    <row r="161" spans="1:10" ht="14.5">
      <c r="A161" s="107" t="s">
        <v>723</v>
      </c>
      <c r="B161" s="101" t="s">
        <v>165</v>
      </c>
      <c r="C161" s="102"/>
      <c r="D161" s="103" t="s">
        <v>135</v>
      </c>
      <c r="E161" s="104"/>
      <c r="F161" s="104"/>
      <c r="G161" s="104"/>
      <c r="H161" s="104"/>
      <c r="I161" s="104"/>
      <c r="J161" s="104"/>
    </row>
    <row r="162" spans="1:10" ht="14.5">
      <c r="A162" s="107" t="s">
        <v>724</v>
      </c>
      <c r="B162" s="101" t="s">
        <v>781</v>
      </c>
      <c r="C162" s="102"/>
      <c r="D162" s="103" t="s">
        <v>135</v>
      </c>
      <c r="E162" s="104"/>
      <c r="F162" s="104"/>
      <c r="G162" s="104"/>
      <c r="H162" s="104"/>
      <c r="I162" s="104"/>
      <c r="J162" s="104"/>
    </row>
    <row r="163" spans="1:10" ht="14.5">
      <c r="A163" s="107" t="s">
        <v>725</v>
      </c>
      <c r="B163" s="101" t="s">
        <v>83</v>
      </c>
      <c r="C163" s="102"/>
      <c r="D163" s="103" t="s">
        <v>135</v>
      </c>
      <c r="E163" s="104"/>
      <c r="F163" s="104"/>
      <c r="G163" s="104"/>
      <c r="H163" s="104"/>
      <c r="I163" s="104"/>
      <c r="J163" s="104"/>
    </row>
    <row r="164" spans="1:10" ht="14.5">
      <c r="A164" s="107" t="s">
        <v>726</v>
      </c>
      <c r="B164" s="101" t="s">
        <v>169</v>
      </c>
      <c r="C164" s="102"/>
      <c r="D164" s="103" t="s">
        <v>135</v>
      </c>
      <c r="E164" s="104"/>
      <c r="F164" s="104"/>
      <c r="G164" s="104"/>
      <c r="H164" s="104"/>
      <c r="I164" s="104"/>
      <c r="J164" s="104"/>
    </row>
    <row r="165" spans="1:10" ht="14.5">
      <c r="A165" s="131" t="s">
        <v>455</v>
      </c>
      <c r="B165" s="132" t="s">
        <v>171</v>
      </c>
      <c r="C165" s="133"/>
      <c r="D165" s="133"/>
      <c r="E165" s="133"/>
      <c r="F165" s="133"/>
      <c r="G165" s="134"/>
      <c r="H165" s="135"/>
      <c r="I165" s="134"/>
      <c r="J165" s="135"/>
    </row>
    <row r="166" spans="1:10" ht="14.5">
      <c r="A166" s="107" t="s">
        <v>727</v>
      </c>
      <c r="B166" s="101" t="s">
        <v>173</v>
      </c>
      <c r="C166" s="102"/>
      <c r="D166" s="103" t="s">
        <v>135</v>
      </c>
      <c r="E166" s="104"/>
      <c r="F166" s="104"/>
      <c r="G166" s="104"/>
      <c r="H166" s="104"/>
      <c r="I166" s="104"/>
      <c r="J166" s="104"/>
    </row>
    <row r="167" spans="1:10" ht="14.5">
      <c r="A167" s="107" t="s">
        <v>728</v>
      </c>
      <c r="B167" s="101" t="s">
        <v>175</v>
      </c>
      <c r="C167" s="102"/>
      <c r="D167" s="103" t="s">
        <v>135</v>
      </c>
      <c r="E167" s="104"/>
      <c r="F167" s="104"/>
      <c r="G167" s="104"/>
      <c r="H167" s="104"/>
      <c r="I167" s="104"/>
      <c r="J167" s="104"/>
    </row>
    <row r="168" spans="1:10" ht="14.5">
      <c r="A168" s="107" t="s">
        <v>729</v>
      </c>
      <c r="B168" s="101" t="s">
        <v>788</v>
      </c>
      <c r="C168" s="102"/>
      <c r="D168" s="103" t="s">
        <v>135</v>
      </c>
      <c r="E168" s="104"/>
      <c r="F168" s="104"/>
      <c r="G168" s="104"/>
      <c r="H168" s="104"/>
      <c r="I168" s="104"/>
      <c r="J168" s="104"/>
    </row>
    <row r="169" spans="1:10" ht="14.5">
      <c r="A169" s="131" t="s">
        <v>457</v>
      </c>
      <c r="B169" s="132" t="s">
        <v>178</v>
      </c>
      <c r="C169" s="133"/>
      <c r="D169" s="133"/>
      <c r="E169" s="133"/>
      <c r="F169" s="133"/>
      <c r="G169" s="134"/>
      <c r="H169" s="135"/>
      <c r="I169" s="134"/>
      <c r="J169" s="135"/>
    </row>
    <row r="170" spans="1:10" ht="14.5">
      <c r="A170" s="107" t="s">
        <v>730</v>
      </c>
      <c r="B170" s="101" t="s">
        <v>180</v>
      </c>
      <c r="C170" s="102"/>
      <c r="D170" s="103" t="s">
        <v>135</v>
      </c>
      <c r="E170" s="104"/>
      <c r="F170" s="105"/>
      <c r="G170" s="128"/>
      <c r="H170" s="146"/>
      <c r="I170" s="128"/>
      <c r="J170" s="146"/>
    </row>
    <row r="171" spans="1:10" ht="14.5">
      <c r="A171" s="107" t="s">
        <v>731</v>
      </c>
      <c r="B171" s="101" t="s">
        <v>182</v>
      </c>
      <c r="C171" s="102"/>
      <c r="D171" s="103" t="s">
        <v>135</v>
      </c>
      <c r="E171" s="104"/>
      <c r="F171" s="105"/>
      <c r="G171" s="128"/>
      <c r="H171" s="146"/>
      <c r="I171" s="128"/>
      <c r="J171" s="146"/>
    </row>
    <row r="172" spans="1:10" ht="14.5">
      <c r="A172" s="107" t="s">
        <v>732</v>
      </c>
      <c r="B172" s="101" t="s">
        <v>184</v>
      </c>
      <c r="C172" s="102"/>
      <c r="D172" s="103" t="s">
        <v>135</v>
      </c>
      <c r="E172" s="104"/>
      <c r="F172" s="105"/>
      <c r="G172" s="128"/>
      <c r="H172" s="146"/>
      <c r="I172" s="128"/>
      <c r="J172" s="146"/>
    </row>
    <row r="173" spans="1:10" ht="14.5">
      <c r="A173" s="107" t="s">
        <v>733</v>
      </c>
      <c r="B173" s="101" t="s">
        <v>329</v>
      </c>
      <c r="C173" s="102"/>
      <c r="D173" s="103" t="s">
        <v>135</v>
      </c>
      <c r="E173" s="104"/>
      <c r="F173" s="105"/>
      <c r="G173" s="128"/>
      <c r="H173" s="146"/>
      <c r="I173" s="128"/>
      <c r="J173" s="146"/>
    </row>
    <row r="174" spans="1:10" ht="14.5">
      <c r="A174" s="131" t="s">
        <v>459</v>
      </c>
      <c r="B174" s="132" t="s">
        <v>187</v>
      </c>
      <c r="C174" s="133"/>
      <c r="D174" s="133"/>
      <c r="E174" s="133"/>
      <c r="F174" s="133"/>
      <c r="G174" s="134"/>
      <c r="H174" s="135"/>
      <c r="I174" s="134"/>
      <c r="J174" s="135"/>
    </row>
    <row r="175" spans="1:10" ht="14.5">
      <c r="A175" s="107" t="s">
        <v>734</v>
      </c>
      <c r="B175" s="101" t="s">
        <v>189</v>
      </c>
      <c r="C175" s="102"/>
      <c r="D175" s="103" t="s">
        <v>135</v>
      </c>
      <c r="E175" s="104"/>
      <c r="F175" s="105"/>
      <c r="G175" s="128"/>
      <c r="H175" s="146"/>
      <c r="I175" s="128"/>
      <c r="J175" s="146"/>
    </row>
    <row r="176" spans="1:10" ht="14.5">
      <c r="A176" s="107" t="s">
        <v>735</v>
      </c>
      <c r="B176" s="101" t="s">
        <v>191</v>
      </c>
      <c r="C176" s="102"/>
      <c r="D176" s="103" t="s">
        <v>135</v>
      </c>
      <c r="E176" s="104"/>
      <c r="F176" s="105"/>
      <c r="G176" s="128"/>
      <c r="H176" s="146"/>
      <c r="I176" s="128"/>
      <c r="J176" s="146"/>
    </row>
    <row r="177" spans="1:10" ht="14.5">
      <c r="A177" s="107" t="s">
        <v>736</v>
      </c>
      <c r="B177" s="101" t="s">
        <v>193</v>
      </c>
      <c r="C177" s="102"/>
      <c r="D177" s="103" t="s">
        <v>135</v>
      </c>
      <c r="E177" s="104"/>
      <c r="F177" s="105"/>
      <c r="G177" s="128"/>
      <c r="H177" s="146"/>
      <c r="I177" s="128"/>
      <c r="J177" s="146"/>
    </row>
    <row r="178" spans="1:10" ht="14.5">
      <c r="A178" s="107" t="s">
        <v>737</v>
      </c>
      <c r="B178" s="101" t="s">
        <v>195</v>
      </c>
      <c r="C178" s="102"/>
      <c r="D178" s="103" t="s">
        <v>135</v>
      </c>
      <c r="E178" s="104"/>
      <c r="F178" s="105"/>
      <c r="G178" s="128"/>
      <c r="H178" s="146"/>
      <c r="I178" s="128"/>
      <c r="J178" s="146"/>
    </row>
    <row r="179" spans="1:10" ht="14.5">
      <c r="A179" s="107" t="s">
        <v>738</v>
      </c>
      <c r="B179" s="101" t="s">
        <v>197</v>
      </c>
      <c r="C179" s="102"/>
      <c r="D179" s="103" t="s">
        <v>135</v>
      </c>
      <c r="E179" s="104"/>
      <c r="F179" s="105"/>
      <c r="G179" s="128"/>
      <c r="H179" s="146"/>
      <c r="I179" s="128"/>
      <c r="J179" s="146"/>
    </row>
    <row r="180" spans="1:10" ht="14.5">
      <c r="A180" s="107" t="s">
        <v>739</v>
      </c>
      <c r="B180" s="101" t="s">
        <v>199</v>
      </c>
      <c r="C180" s="102"/>
      <c r="D180" s="103" t="s">
        <v>135</v>
      </c>
      <c r="E180" s="104"/>
      <c r="F180" s="105"/>
      <c r="G180" s="128"/>
      <c r="H180" s="146"/>
      <c r="I180" s="128"/>
      <c r="J180" s="146"/>
    </row>
    <row r="181" spans="1:10" ht="14.5">
      <c r="A181" s="131" t="s">
        <v>460</v>
      </c>
      <c r="B181" s="132" t="s">
        <v>201</v>
      </c>
      <c r="C181" s="133"/>
      <c r="D181" s="133"/>
      <c r="E181" s="133"/>
      <c r="F181" s="133"/>
      <c r="G181" s="134"/>
      <c r="H181" s="135"/>
      <c r="I181" s="134"/>
      <c r="J181" s="135"/>
    </row>
    <row r="182" spans="1:10" ht="14.5">
      <c r="A182" s="107" t="s">
        <v>740</v>
      </c>
      <c r="B182" s="101" t="s">
        <v>205</v>
      </c>
      <c r="C182" s="102"/>
      <c r="D182" s="103" t="s">
        <v>135</v>
      </c>
      <c r="E182" s="104"/>
      <c r="F182" s="105"/>
      <c r="G182" s="128"/>
      <c r="H182" s="146"/>
      <c r="I182" s="128"/>
      <c r="J182" s="146"/>
    </row>
    <row r="183" spans="1:10" ht="14.5">
      <c r="A183" s="190" t="s">
        <v>773</v>
      </c>
      <c r="B183" s="190"/>
      <c r="C183" s="190"/>
      <c r="D183" s="190"/>
      <c r="E183" s="44"/>
      <c r="F183" s="44"/>
      <c r="G183" s="128"/>
      <c r="H183" s="139"/>
      <c r="I183" s="46"/>
      <c r="J183" s="139"/>
    </row>
    <row r="184" spans="1:10" ht="24.75" customHeight="1">
      <c r="A184" s="2" t="s">
        <v>466</v>
      </c>
      <c r="B184" s="205" t="s">
        <v>596</v>
      </c>
      <c r="C184" s="205"/>
      <c r="D184" s="205"/>
      <c r="E184" s="205"/>
      <c r="F184" s="205"/>
      <c r="G184" s="205"/>
      <c r="H184" s="205"/>
      <c r="I184" s="205"/>
      <c r="J184" s="90"/>
    </row>
    <row r="185" spans="1:10" ht="14.5">
      <c r="A185" s="131" t="s">
        <v>468</v>
      </c>
      <c r="B185" s="132" t="s">
        <v>211</v>
      </c>
      <c r="C185" s="133"/>
      <c r="D185" s="133"/>
      <c r="E185" s="133"/>
      <c r="F185" s="133"/>
      <c r="G185" s="134"/>
      <c r="H185" s="135"/>
      <c r="I185" s="134"/>
      <c r="J185" s="135"/>
    </row>
    <row r="186" spans="1:10" ht="14.5">
      <c r="A186" s="107" t="s">
        <v>741</v>
      </c>
      <c r="B186" s="117" t="s">
        <v>213</v>
      </c>
      <c r="C186" s="102"/>
      <c r="D186" s="103" t="s">
        <v>135</v>
      </c>
      <c r="E186" s="104"/>
      <c r="F186" s="105"/>
      <c r="G186" s="128"/>
      <c r="H186" s="146"/>
      <c r="I186" s="128"/>
      <c r="J186" s="146"/>
    </row>
    <row r="187" spans="1:10" ht="14.5">
      <c r="A187" s="107" t="s">
        <v>742</v>
      </c>
      <c r="B187" s="117" t="s">
        <v>215</v>
      </c>
      <c r="C187" s="102"/>
      <c r="D187" s="103" t="s">
        <v>135</v>
      </c>
      <c r="E187" s="104"/>
      <c r="F187" s="105"/>
      <c r="G187" s="128"/>
      <c r="H187" s="146"/>
      <c r="I187" s="128"/>
      <c r="J187" s="146"/>
    </row>
    <row r="188" spans="1:10" ht="14.5">
      <c r="A188" s="107" t="s">
        <v>743</v>
      </c>
      <c r="B188" s="117" t="s">
        <v>217</v>
      </c>
      <c r="C188" s="102"/>
      <c r="D188" s="103" t="s">
        <v>135</v>
      </c>
      <c r="E188" s="104"/>
      <c r="F188" s="105"/>
      <c r="G188" s="128"/>
      <c r="H188" s="146"/>
      <c r="I188" s="128"/>
      <c r="J188" s="146"/>
    </row>
    <row r="189" spans="1:10" ht="14.5">
      <c r="A189" s="107" t="s">
        <v>744</v>
      </c>
      <c r="B189" s="117" t="s">
        <v>219</v>
      </c>
      <c r="C189" s="102"/>
      <c r="D189" s="103" t="s">
        <v>135</v>
      </c>
      <c r="E189" s="104"/>
      <c r="F189" s="105"/>
      <c r="G189" s="128"/>
      <c r="H189" s="146"/>
      <c r="I189" s="128"/>
      <c r="J189" s="146"/>
    </row>
    <row r="190" spans="1:10" ht="14.5">
      <c r="A190" s="107" t="s">
        <v>745</v>
      </c>
      <c r="B190" s="117" t="s">
        <v>768</v>
      </c>
      <c r="C190" s="102"/>
      <c r="D190" s="103" t="s">
        <v>135</v>
      </c>
      <c r="E190" s="104"/>
      <c r="F190" s="105"/>
      <c r="G190" s="128"/>
      <c r="H190" s="146"/>
      <c r="I190" s="128"/>
      <c r="J190" s="146"/>
    </row>
    <row r="191" spans="1:10" ht="14.5">
      <c r="A191" s="107" t="s">
        <v>746</v>
      </c>
      <c r="B191" s="117" t="s">
        <v>769</v>
      </c>
      <c r="C191" s="102"/>
      <c r="D191" s="103" t="s">
        <v>135</v>
      </c>
      <c r="E191" s="104"/>
      <c r="F191" s="105"/>
      <c r="G191" s="128"/>
      <c r="H191" s="146"/>
      <c r="I191" s="128"/>
      <c r="J191" s="146"/>
    </row>
    <row r="192" spans="1:10" ht="14.5">
      <c r="A192" s="107" t="s">
        <v>747</v>
      </c>
      <c r="B192" s="117" t="s">
        <v>770</v>
      </c>
      <c r="C192" s="102"/>
      <c r="D192" s="103" t="s">
        <v>135</v>
      </c>
      <c r="E192" s="104"/>
      <c r="F192" s="105"/>
      <c r="G192" s="128"/>
      <c r="H192" s="146"/>
      <c r="I192" s="128"/>
      <c r="J192" s="146"/>
    </row>
    <row r="193" spans="1:10" ht="14.5">
      <c r="A193" s="107" t="s">
        <v>748</v>
      </c>
      <c r="B193" s="117" t="s">
        <v>227</v>
      </c>
      <c r="C193" s="102"/>
      <c r="D193" s="103" t="s">
        <v>135</v>
      </c>
      <c r="E193" s="104"/>
      <c r="F193" s="105"/>
      <c r="G193" s="128"/>
      <c r="H193" s="146"/>
      <c r="I193" s="128"/>
      <c r="J193" s="146"/>
    </row>
    <row r="194" spans="1:10" ht="14.5">
      <c r="A194" s="131" t="s">
        <v>470</v>
      </c>
      <c r="B194" s="132" t="s">
        <v>229</v>
      </c>
      <c r="C194" s="133"/>
      <c r="D194" s="133"/>
      <c r="E194" s="133"/>
      <c r="F194" s="133"/>
      <c r="G194" s="134"/>
      <c r="H194" s="135"/>
      <c r="I194" s="134"/>
      <c r="J194" s="135"/>
    </row>
    <row r="195" spans="1:10" ht="14.5">
      <c r="A195" s="107" t="s">
        <v>749</v>
      </c>
      <c r="B195" s="101" t="s">
        <v>231</v>
      </c>
      <c r="C195" s="102"/>
      <c r="D195" s="103" t="s">
        <v>135</v>
      </c>
      <c r="E195" s="104"/>
      <c r="F195" s="105"/>
      <c r="G195" s="128"/>
      <c r="H195" s="146"/>
      <c r="I195" s="128"/>
      <c r="J195" s="146"/>
    </row>
    <row r="196" spans="1:10" ht="14.5">
      <c r="A196" s="131" t="s">
        <v>473</v>
      </c>
      <c r="B196" s="132" t="s">
        <v>233</v>
      </c>
      <c r="C196" s="133"/>
      <c r="D196" s="133"/>
      <c r="E196" s="133"/>
      <c r="F196" s="133"/>
      <c r="G196" s="134"/>
      <c r="H196" s="135"/>
      <c r="I196" s="134"/>
      <c r="J196" s="135"/>
    </row>
    <row r="197" spans="1:10" ht="14.5">
      <c r="A197" s="107" t="s">
        <v>750</v>
      </c>
      <c r="B197" s="107" t="s">
        <v>237</v>
      </c>
      <c r="C197" s="102"/>
      <c r="D197" s="103" t="s">
        <v>135</v>
      </c>
      <c r="E197" s="104"/>
      <c r="F197" s="105"/>
      <c r="G197" s="128"/>
      <c r="H197" s="146"/>
      <c r="I197" s="128"/>
      <c r="J197" s="146"/>
    </row>
    <row r="198" spans="1:10" ht="14.5">
      <c r="A198" s="107" t="s">
        <v>751</v>
      </c>
      <c r="B198" s="107" t="s">
        <v>256</v>
      </c>
      <c r="C198" s="102"/>
      <c r="D198" s="103" t="s">
        <v>135</v>
      </c>
      <c r="E198" s="104"/>
      <c r="F198" s="105"/>
      <c r="G198" s="128"/>
      <c r="H198" s="146"/>
      <c r="I198" s="128"/>
      <c r="J198" s="146"/>
    </row>
    <row r="199" spans="1:10" ht="14.5">
      <c r="A199" s="107" t="s">
        <v>752</v>
      </c>
      <c r="B199" s="107" t="s">
        <v>261</v>
      </c>
      <c r="C199" s="102"/>
      <c r="D199" s="103" t="s">
        <v>135</v>
      </c>
      <c r="E199" s="104"/>
      <c r="F199" s="105"/>
      <c r="G199" s="128"/>
      <c r="H199" s="146"/>
      <c r="I199" s="128"/>
      <c r="J199" s="146"/>
    </row>
    <row r="200" spans="1:10" ht="14.5">
      <c r="A200" s="107" t="s">
        <v>753</v>
      </c>
      <c r="B200" s="107" t="s">
        <v>264</v>
      </c>
      <c r="C200" s="102"/>
      <c r="D200" s="103" t="s">
        <v>135</v>
      </c>
      <c r="E200" s="104"/>
      <c r="F200" s="105"/>
      <c r="G200" s="128"/>
      <c r="H200" s="146"/>
      <c r="I200" s="128"/>
      <c r="J200" s="146"/>
    </row>
    <row r="201" spans="1:10" ht="14.5">
      <c r="A201" s="107" t="s">
        <v>786</v>
      </c>
      <c r="B201" s="107" t="s">
        <v>267</v>
      </c>
      <c r="C201" s="102"/>
      <c r="D201" s="103" t="s">
        <v>135</v>
      </c>
      <c r="E201" s="104"/>
      <c r="F201" s="105"/>
      <c r="G201" s="128"/>
      <c r="H201" s="146"/>
      <c r="I201" s="128"/>
      <c r="J201" s="146"/>
    </row>
    <row r="202" spans="1:10" ht="14.5">
      <c r="A202" s="131" t="s">
        <v>475</v>
      </c>
      <c r="B202" s="132" t="s">
        <v>270</v>
      </c>
      <c r="C202" s="133"/>
      <c r="D202" s="133"/>
      <c r="E202" s="133"/>
      <c r="F202" s="133"/>
      <c r="G202" s="134"/>
      <c r="H202" s="135"/>
      <c r="I202" s="134"/>
      <c r="J202" s="135"/>
    </row>
    <row r="203" spans="1:10" ht="14.5">
      <c r="A203" s="131" t="s">
        <v>477</v>
      </c>
      <c r="B203" s="132" t="s">
        <v>274</v>
      </c>
      <c r="C203" s="133"/>
      <c r="D203" s="133"/>
      <c r="E203" s="133"/>
      <c r="F203" s="133"/>
      <c r="G203" s="134"/>
      <c r="H203" s="135"/>
      <c r="I203" s="134"/>
      <c r="J203" s="135"/>
    </row>
    <row r="204" spans="1:10" ht="14.5">
      <c r="A204" s="107" t="s">
        <v>754</v>
      </c>
      <c r="B204" s="101" t="s">
        <v>276</v>
      </c>
      <c r="C204" s="102"/>
      <c r="D204" s="103" t="s">
        <v>135</v>
      </c>
      <c r="E204" s="104"/>
      <c r="F204" s="105"/>
      <c r="G204" s="128"/>
      <c r="H204" s="146"/>
      <c r="I204" s="128"/>
      <c r="J204" s="146"/>
    </row>
    <row r="205" spans="1:10" ht="14.5">
      <c r="A205" s="107" t="s">
        <v>755</v>
      </c>
      <c r="B205" s="101" t="s">
        <v>278</v>
      </c>
      <c r="C205" s="102"/>
      <c r="D205" s="103" t="s">
        <v>135</v>
      </c>
      <c r="E205" s="104"/>
      <c r="F205" s="105"/>
      <c r="G205" s="128"/>
      <c r="H205" s="146"/>
      <c r="I205" s="128"/>
      <c r="J205" s="146"/>
    </row>
    <row r="206" spans="1:10" ht="14.5">
      <c r="A206" s="107" t="s">
        <v>756</v>
      </c>
      <c r="B206" s="101" t="s">
        <v>280</v>
      </c>
      <c r="C206" s="102"/>
      <c r="D206" s="103" t="s">
        <v>135</v>
      </c>
      <c r="E206" s="104"/>
      <c r="F206" s="105"/>
      <c r="G206" s="128"/>
      <c r="H206" s="146"/>
      <c r="I206" s="128"/>
      <c r="J206" s="146"/>
    </row>
    <row r="207" spans="1:10" ht="14.5">
      <c r="A207" s="107" t="s">
        <v>757</v>
      </c>
      <c r="B207" s="101" t="s">
        <v>282</v>
      </c>
      <c r="C207" s="102"/>
      <c r="D207" s="103" t="s">
        <v>135</v>
      </c>
      <c r="E207" s="104"/>
      <c r="F207" s="105"/>
      <c r="G207" s="128"/>
      <c r="H207" s="146"/>
      <c r="I207" s="128"/>
      <c r="J207" s="146"/>
    </row>
    <row r="208" spans="1:10" ht="14.5">
      <c r="A208" s="107" t="s">
        <v>758</v>
      </c>
      <c r="B208" s="101" t="s">
        <v>284</v>
      </c>
      <c r="C208" s="102"/>
      <c r="D208" s="103" t="s">
        <v>135</v>
      </c>
      <c r="E208" s="104"/>
      <c r="F208" s="105"/>
      <c r="G208" s="128"/>
      <c r="H208" s="146"/>
      <c r="I208" s="128"/>
      <c r="J208" s="146"/>
    </row>
    <row r="209" spans="1:10" ht="14.5">
      <c r="A209" s="107" t="s">
        <v>759</v>
      </c>
      <c r="B209" s="101" t="s">
        <v>286</v>
      </c>
      <c r="C209" s="102"/>
      <c r="D209" s="103" t="s">
        <v>135</v>
      </c>
      <c r="E209" s="104"/>
      <c r="F209" s="105"/>
      <c r="G209" s="128"/>
      <c r="H209" s="146"/>
      <c r="I209" s="128"/>
      <c r="J209" s="146"/>
    </row>
    <row r="210" spans="1:10" ht="14.5">
      <c r="A210" s="107" t="s">
        <v>787</v>
      </c>
      <c r="B210" s="101" t="s">
        <v>785</v>
      </c>
      <c r="C210" s="102"/>
      <c r="D210" s="103" t="s">
        <v>135</v>
      </c>
      <c r="E210" s="104"/>
      <c r="F210" s="105"/>
      <c r="G210" s="128"/>
      <c r="H210" s="146"/>
      <c r="I210" s="128"/>
      <c r="J210" s="146"/>
    </row>
    <row r="211" spans="1:10" ht="14.5">
      <c r="A211" s="131" t="s">
        <v>479</v>
      </c>
      <c r="B211" s="132" t="s">
        <v>288</v>
      </c>
      <c r="C211" s="133"/>
      <c r="D211" s="133"/>
      <c r="E211" s="133"/>
      <c r="F211" s="133"/>
      <c r="G211" s="134"/>
      <c r="H211" s="135"/>
      <c r="I211" s="134"/>
      <c r="J211" s="135"/>
    </row>
    <row r="212" spans="1:10" ht="14.5">
      <c r="A212" s="107" t="s">
        <v>760</v>
      </c>
      <c r="B212" s="101" t="s">
        <v>290</v>
      </c>
      <c r="C212" s="102"/>
      <c r="D212" s="103" t="s">
        <v>135</v>
      </c>
      <c r="E212" s="104"/>
      <c r="F212" s="105"/>
      <c r="G212" s="128"/>
      <c r="H212" s="146"/>
      <c r="I212" s="128"/>
      <c r="J212" s="146"/>
    </row>
    <row r="213" spans="1:10" ht="14.5">
      <c r="A213" s="107" t="s">
        <v>761</v>
      </c>
      <c r="B213" s="101" t="s">
        <v>292</v>
      </c>
      <c r="C213" s="102"/>
      <c r="D213" s="103" t="s">
        <v>135</v>
      </c>
      <c r="E213" s="104"/>
      <c r="F213" s="105"/>
      <c r="G213" s="128"/>
      <c r="H213" s="146"/>
      <c r="I213" s="128"/>
      <c r="J213" s="146"/>
    </row>
    <row r="214" spans="1:10" ht="14.5">
      <c r="A214" s="107" t="s">
        <v>762</v>
      </c>
      <c r="B214" s="101" t="s">
        <v>782</v>
      </c>
      <c r="C214" s="102"/>
      <c r="D214" s="103" t="s">
        <v>135</v>
      </c>
      <c r="E214" s="104"/>
      <c r="F214" s="105"/>
      <c r="G214" s="128"/>
      <c r="H214" s="146"/>
      <c r="I214" s="128"/>
      <c r="J214" s="146"/>
    </row>
    <row r="215" spans="1:10" ht="14.5">
      <c r="A215" s="107" t="s">
        <v>763</v>
      </c>
      <c r="B215" s="101" t="s">
        <v>295</v>
      </c>
      <c r="C215" s="102"/>
      <c r="D215" s="103" t="s">
        <v>135</v>
      </c>
      <c r="E215" s="104"/>
      <c r="F215" s="105"/>
      <c r="G215" s="128"/>
      <c r="H215" s="146"/>
      <c r="I215" s="128"/>
      <c r="J215" s="146"/>
    </row>
    <row r="216" spans="1:10" ht="14.5">
      <c r="A216" s="131" t="s">
        <v>481</v>
      </c>
      <c r="B216" s="132" t="s">
        <v>790</v>
      </c>
      <c r="C216" s="133"/>
      <c r="D216" s="133"/>
      <c r="E216" s="133"/>
      <c r="F216" s="133"/>
      <c r="G216" s="134"/>
      <c r="H216" s="135"/>
      <c r="I216" s="134"/>
      <c r="J216" s="135"/>
    </row>
    <row r="217" spans="1:10" ht="14.5">
      <c r="A217" s="107" t="s">
        <v>764</v>
      </c>
      <c r="B217" s="101" t="s">
        <v>789</v>
      </c>
      <c r="C217" s="102"/>
      <c r="D217" s="103" t="s">
        <v>135</v>
      </c>
      <c r="E217" s="104"/>
      <c r="F217" s="105"/>
      <c r="G217" s="128"/>
      <c r="H217" s="146"/>
      <c r="I217" s="128"/>
      <c r="J217" s="146"/>
    </row>
    <row r="218" spans="1:10" ht="14.5">
      <c r="A218" s="190" t="s">
        <v>774</v>
      </c>
      <c r="B218" s="190"/>
      <c r="C218" s="190"/>
      <c r="D218" s="190"/>
      <c r="E218" s="44"/>
      <c r="F218" s="44"/>
      <c r="G218" s="128"/>
      <c r="H218" s="139"/>
      <c r="I218" s="46"/>
      <c r="J218" s="139"/>
    </row>
    <row r="219" spans="1:10" ht="24.75" customHeight="1">
      <c r="A219" s="153" t="s">
        <v>494</v>
      </c>
      <c r="B219" s="204" t="s">
        <v>597</v>
      </c>
      <c r="C219" s="204"/>
      <c r="D219" s="204"/>
      <c r="E219" s="204"/>
      <c r="F219" s="204"/>
      <c r="G219" s="204"/>
      <c r="H219" s="204"/>
      <c r="I219" s="204"/>
      <c r="J219" s="204"/>
    </row>
    <row r="220" spans="1:10" ht="14.5">
      <c r="A220" s="129" t="s">
        <v>496</v>
      </c>
      <c r="B220" s="101" t="s">
        <v>303</v>
      </c>
      <c r="C220" s="162"/>
      <c r="D220" s="103" t="s">
        <v>135</v>
      </c>
      <c r="E220" s="162"/>
      <c r="F220" s="162"/>
      <c r="G220" s="166"/>
      <c r="H220" s="167"/>
      <c r="I220" s="162"/>
      <c r="J220" s="162"/>
    </row>
    <row r="221" spans="1:10" ht="14.5">
      <c r="A221" s="129" t="s">
        <v>498</v>
      </c>
      <c r="B221" s="101" t="s">
        <v>306</v>
      </c>
      <c r="C221" s="162"/>
      <c r="D221" s="103" t="s">
        <v>135</v>
      </c>
      <c r="E221" s="162"/>
      <c r="F221" s="162"/>
      <c r="G221" s="166"/>
      <c r="H221" s="167"/>
      <c r="I221" s="162"/>
      <c r="J221" s="162"/>
    </row>
    <row r="222" spans="1:10" ht="14.5">
      <c r="A222" s="129" t="s">
        <v>500</v>
      </c>
      <c r="B222" s="101" t="s">
        <v>308</v>
      </c>
      <c r="C222" s="162"/>
      <c r="D222" s="103" t="s">
        <v>135</v>
      </c>
      <c r="E222" s="162"/>
      <c r="F222" s="162"/>
      <c r="G222" s="166"/>
      <c r="H222" s="167"/>
      <c r="I222" s="162"/>
      <c r="J222" s="162"/>
    </row>
    <row r="223" spans="1:10" ht="14.5">
      <c r="A223" s="129" t="s">
        <v>502</v>
      </c>
      <c r="B223" s="101" t="s">
        <v>311</v>
      </c>
      <c r="C223" s="162"/>
      <c r="D223" s="103" t="s">
        <v>135</v>
      </c>
      <c r="E223" s="162"/>
      <c r="F223" s="162"/>
      <c r="G223" s="166"/>
      <c r="H223" s="167"/>
      <c r="I223" s="162"/>
      <c r="J223" s="162"/>
    </row>
    <row r="224" spans="1:10" ht="14.5">
      <c r="A224" s="129" t="s">
        <v>504</v>
      </c>
      <c r="B224" s="101" t="s">
        <v>313</v>
      </c>
      <c r="C224" s="162"/>
      <c r="D224" s="103" t="s">
        <v>135</v>
      </c>
      <c r="E224" s="162"/>
      <c r="F224" s="162"/>
      <c r="G224" s="166"/>
      <c r="H224" s="167"/>
      <c r="I224" s="162"/>
      <c r="J224" s="162"/>
    </row>
    <row r="225" spans="1:10" ht="14.5">
      <c r="A225" s="129" t="s">
        <v>506</v>
      </c>
      <c r="B225" s="101" t="s">
        <v>315</v>
      </c>
      <c r="C225" s="162"/>
      <c r="D225" s="103" t="s">
        <v>135</v>
      </c>
      <c r="E225" s="162"/>
      <c r="F225" s="162"/>
      <c r="G225" s="166"/>
      <c r="H225" s="167"/>
      <c r="I225" s="162"/>
      <c r="J225" s="162"/>
    </row>
    <row r="226" spans="1:10" ht="14.5">
      <c r="A226" s="129" t="s">
        <v>508</v>
      </c>
      <c r="B226" s="101" t="s">
        <v>317</v>
      </c>
      <c r="C226" s="162"/>
      <c r="D226" s="103" t="s">
        <v>135</v>
      </c>
      <c r="E226" s="162"/>
      <c r="F226" s="162"/>
      <c r="G226" s="166"/>
      <c r="H226" s="167"/>
      <c r="I226" s="162"/>
      <c r="J226" s="162"/>
    </row>
    <row r="227" spans="1:10" ht="14.5">
      <c r="A227" s="129" t="s">
        <v>510</v>
      </c>
      <c r="B227" s="101" t="s">
        <v>319</v>
      </c>
      <c r="C227" s="162"/>
      <c r="D227" s="103" t="s">
        <v>135</v>
      </c>
      <c r="E227" s="162"/>
      <c r="F227" s="162"/>
      <c r="G227" s="166"/>
      <c r="H227" s="167"/>
      <c r="I227" s="162"/>
      <c r="J227" s="162"/>
    </row>
    <row r="228" spans="1:10" ht="14.5">
      <c r="A228" s="129" t="s">
        <v>512</v>
      </c>
      <c r="B228" s="101" t="s">
        <v>321</v>
      </c>
      <c r="C228" s="162"/>
      <c r="D228" s="103" t="s">
        <v>135</v>
      </c>
      <c r="E228" s="162"/>
      <c r="F228" s="162"/>
      <c r="G228" s="166"/>
      <c r="H228" s="167"/>
      <c r="I228" s="162"/>
      <c r="J228" s="162"/>
    </row>
    <row r="229" spans="1:10" ht="14.5">
      <c r="A229" s="129" t="s">
        <v>514</v>
      </c>
      <c r="B229" s="101" t="s">
        <v>324</v>
      </c>
      <c r="C229" s="162"/>
      <c r="D229" s="103" t="s">
        <v>135</v>
      </c>
      <c r="E229" s="162"/>
      <c r="F229" s="162"/>
      <c r="G229" s="166"/>
      <c r="H229" s="167"/>
      <c r="I229" s="162"/>
      <c r="J229" s="162"/>
    </row>
    <row r="230" spans="1:10" ht="14.5">
      <c r="A230" s="129" t="s">
        <v>516</v>
      </c>
      <c r="B230" s="101" t="s">
        <v>326</v>
      </c>
      <c r="C230" s="162"/>
      <c r="D230" s="103" t="s">
        <v>135</v>
      </c>
      <c r="E230" s="162"/>
      <c r="F230" s="162"/>
      <c r="G230" s="166"/>
      <c r="H230" s="167"/>
      <c r="I230" s="162"/>
      <c r="J230" s="162"/>
    </row>
    <row r="231" spans="1:10" ht="14.5">
      <c r="A231" s="184" t="s">
        <v>775</v>
      </c>
      <c r="B231" s="184"/>
      <c r="C231" s="184"/>
      <c r="D231" s="184"/>
      <c r="E231" s="163"/>
      <c r="F231" s="163"/>
      <c r="G231" s="166"/>
      <c r="H231" s="165"/>
      <c r="I231" s="164"/>
      <c r="J231" s="165"/>
    </row>
    <row r="232" spans="1:10" ht="24.75" customHeight="1">
      <c r="A232" s="153" t="s">
        <v>765</v>
      </c>
      <c r="B232" s="204" t="s">
        <v>592</v>
      </c>
      <c r="C232" s="204"/>
      <c r="D232" s="204"/>
      <c r="E232" s="204"/>
      <c r="F232" s="204"/>
      <c r="G232" s="204"/>
      <c r="H232" s="204"/>
      <c r="I232" s="204"/>
      <c r="J232" s="204"/>
    </row>
    <row r="233" spans="1:10" ht="14.5">
      <c r="A233" s="152" t="s">
        <v>525</v>
      </c>
      <c r="B233" s="101" t="s">
        <v>788</v>
      </c>
      <c r="C233" s="103"/>
      <c r="D233" s="103" t="s">
        <v>135</v>
      </c>
      <c r="E233" s="162"/>
      <c r="F233" s="162"/>
      <c r="G233" s="166"/>
      <c r="H233" s="167"/>
      <c r="I233" s="162"/>
      <c r="J233" s="162"/>
    </row>
    <row r="234" spans="1:10" ht="14.5">
      <c r="A234" s="152" t="s">
        <v>528</v>
      </c>
      <c r="B234" s="101" t="s">
        <v>593</v>
      </c>
      <c r="C234" s="103"/>
      <c r="D234" s="103" t="s">
        <v>135</v>
      </c>
      <c r="E234" s="162"/>
      <c r="F234" s="162"/>
      <c r="G234" s="166"/>
      <c r="H234" s="167"/>
      <c r="I234" s="162"/>
      <c r="J234" s="162"/>
    </row>
    <row r="235" spans="1:10" ht="14.5">
      <c r="A235" s="152" t="s">
        <v>530</v>
      </c>
      <c r="B235" s="101" t="s">
        <v>594</v>
      </c>
      <c r="C235" s="103"/>
      <c r="D235" s="103" t="s">
        <v>135</v>
      </c>
      <c r="E235" s="162"/>
      <c r="F235" s="162"/>
      <c r="G235" s="166"/>
      <c r="H235" s="167"/>
      <c r="I235" s="162"/>
      <c r="J235" s="162"/>
    </row>
    <row r="236" spans="1:10" ht="14.5">
      <c r="A236" s="152" t="s">
        <v>533</v>
      </c>
      <c r="B236" s="101" t="s">
        <v>777</v>
      </c>
      <c r="C236" s="103"/>
      <c r="D236" s="103" t="s">
        <v>135</v>
      </c>
      <c r="E236" s="162"/>
      <c r="F236" s="162"/>
      <c r="G236" s="166"/>
      <c r="H236" s="167"/>
      <c r="I236" s="162"/>
      <c r="J236" s="162"/>
    </row>
    <row r="237" spans="1:10" ht="14.5">
      <c r="A237" s="152" t="s">
        <v>534</v>
      </c>
      <c r="B237" s="101" t="s">
        <v>778</v>
      </c>
      <c r="C237" s="103"/>
      <c r="D237" s="103" t="s">
        <v>135</v>
      </c>
      <c r="E237" s="162"/>
      <c r="F237" s="162"/>
      <c r="G237" s="166"/>
      <c r="H237" s="167"/>
      <c r="I237" s="162"/>
      <c r="J237" s="162"/>
    </row>
    <row r="238" spans="1:10" ht="14.5">
      <c r="A238" s="152" t="s">
        <v>536</v>
      </c>
      <c r="B238" s="101" t="s">
        <v>779</v>
      </c>
      <c r="C238" s="103"/>
      <c r="D238" s="103" t="s">
        <v>135</v>
      </c>
      <c r="E238" s="162"/>
      <c r="F238" s="162"/>
      <c r="G238" s="166"/>
      <c r="H238" s="167"/>
      <c r="I238" s="162"/>
      <c r="J238" s="162"/>
    </row>
    <row r="239" spans="1:10" ht="14.5">
      <c r="A239" s="184" t="s">
        <v>776</v>
      </c>
      <c r="B239" s="184"/>
      <c r="C239" s="184"/>
      <c r="D239" s="184"/>
      <c r="E239" s="163"/>
      <c r="F239" s="163"/>
      <c r="G239" s="166"/>
      <c r="H239" s="165"/>
      <c r="I239" s="164"/>
      <c r="J239" s="165"/>
    </row>
    <row r="241" spans="1:10" ht="14.5">
      <c r="A241" s="121" t="s">
        <v>80</v>
      </c>
      <c r="B241" s="121"/>
      <c r="C241" s="121"/>
      <c r="D241" s="121"/>
      <c r="E241" s="121"/>
      <c r="F241" s="122"/>
      <c r="G241" s="58"/>
      <c r="H241" s="165"/>
      <c r="I241" s="164"/>
      <c r="J241" s="165"/>
    </row>
    <row r="242" spans="1:10" ht="14.5">
      <c r="A242" s="121" t="s">
        <v>772</v>
      </c>
      <c r="B242" s="121"/>
      <c r="C242" s="121"/>
      <c r="D242" s="121"/>
      <c r="E242" s="121"/>
      <c r="F242" s="122"/>
      <c r="G242" s="58"/>
      <c r="H242" s="165"/>
      <c r="I242" s="164"/>
      <c r="J242" s="165"/>
    </row>
    <row r="243" spans="1:10" ht="14.5">
      <c r="A243" s="121" t="s">
        <v>773</v>
      </c>
      <c r="B243" s="121"/>
      <c r="C243" s="121"/>
      <c r="D243" s="121"/>
      <c r="E243" s="121"/>
      <c r="F243" s="122"/>
      <c r="G243" s="58"/>
      <c r="H243" s="165"/>
      <c r="I243" s="164"/>
      <c r="J243" s="165"/>
    </row>
    <row r="244" spans="1:10" ht="14.5">
      <c r="A244" s="121" t="s">
        <v>774</v>
      </c>
      <c r="B244" s="121"/>
      <c r="C244" s="121"/>
      <c r="D244" s="121"/>
      <c r="E244" s="121"/>
      <c r="F244" s="122"/>
      <c r="G244" s="58"/>
      <c r="H244" s="165"/>
      <c r="I244" s="164"/>
      <c r="J244" s="165"/>
    </row>
    <row r="245" spans="1:10" ht="14.5">
      <c r="A245" s="121" t="s">
        <v>775</v>
      </c>
      <c r="B245" s="121"/>
      <c r="C245" s="121"/>
      <c r="D245" s="121"/>
      <c r="E245" s="121"/>
      <c r="F245" s="122"/>
      <c r="G245" s="58"/>
      <c r="H245" s="165"/>
      <c r="I245" s="164"/>
      <c r="J245" s="165"/>
    </row>
    <row r="246" spans="1:10" ht="14.5">
      <c r="A246" s="121" t="s">
        <v>776</v>
      </c>
      <c r="B246" s="121"/>
      <c r="C246" s="121"/>
      <c r="D246" s="121"/>
      <c r="E246" s="121"/>
      <c r="F246" s="122"/>
      <c r="G246" s="58"/>
      <c r="H246" s="165"/>
      <c r="I246" s="164"/>
      <c r="J246" s="165"/>
    </row>
    <row r="247" spans="1:10" ht="14.5">
      <c r="A247" s="121" t="s">
        <v>25</v>
      </c>
      <c r="B247" s="121"/>
      <c r="C247" s="121"/>
      <c r="D247" s="121"/>
      <c r="E247" s="121"/>
      <c r="F247" s="122"/>
      <c r="G247" s="58"/>
      <c r="H247" s="165"/>
      <c r="I247" s="164"/>
      <c r="J247" s="165"/>
    </row>
  </sheetData>
  <autoFilter ref="A2:H157" xr:uid="{00000000-0009-0000-0000-000003000000}"/>
  <mergeCells count="18">
    <mergeCell ref="E4:G4"/>
    <mergeCell ref="H4:J4"/>
    <mergeCell ref="A28:D28"/>
    <mergeCell ref="A142:D142"/>
    <mergeCell ref="A4:A6"/>
    <mergeCell ref="B4:B6"/>
    <mergeCell ref="C4:C6"/>
    <mergeCell ref="D4:D6"/>
    <mergeCell ref="B7:J7"/>
    <mergeCell ref="A231:D231"/>
    <mergeCell ref="A239:D239"/>
    <mergeCell ref="B232:J232"/>
    <mergeCell ref="B29:J29"/>
    <mergeCell ref="B143:J143"/>
    <mergeCell ref="B184:I184"/>
    <mergeCell ref="B219:J219"/>
    <mergeCell ref="A183:D183"/>
    <mergeCell ref="A218:D218"/>
  </mergeCells>
  <phoneticPr fontId="46" type="noConversion"/>
  <printOptions horizontalCentered="1"/>
  <pageMargins left="0.25" right="0.25" top="0.75" bottom="0.75" header="0.3" footer="0.3"/>
  <pageSetup paperSize="9" scale="95" fitToHeight="0" orientation="landscape" r:id="rId1"/>
  <headerFooter>
    <oddHeader>&amp;L&amp;"Calibri,Normal"Bordereaux des prix</oddHeader>
    <oddFooter>&amp;L&amp;"Calibri,Normal"STEP Abdelmoumen – Marché n° SP 95556 P4 (Appel d’Offres n° SP 457 747)&amp;R&amp;"Calibri,Normal"Page &amp;P/&amp;N</oddFooter>
  </headerFooter>
  <rowBreaks count="4" manualBreakCount="4">
    <brk id="28" max="16383" man="1"/>
    <brk id="70" max="16383" man="1"/>
    <brk id="109" max="16383" man="1"/>
    <brk id="12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22"/>
  <sheetViews>
    <sheetView zoomScaleNormal="100" zoomScaleSheetLayoutView="90" workbookViewId="0">
      <selection activeCell="A10" sqref="A10:C10"/>
    </sheetView>
  </sheetViews>
  <sheetFormatPr baseColWidth="10" defaultColWidth="11.54296875" defaultRowHeight="12.5"/>
  <cols>
    <col min="1" max="1" width="12.7265625" customWidth="1"/>
    <col min="2" max="2" width="42.7265625" customWidth="1"/>
    <col min="3" max="3" width="24.1796875" customWidth="1"/>
    <col min="4" max="4" width="33.26953125" customWidth="1"/>
    <col min="5" max="5" width="31.453125" customWidth="1"/>
    <col min="6" max="6" width="39.1796875" customWidth="1"/>
    <col min="8" max="8" width="16.7265625" bestFit="1" customWidth="1"/>
  </cols>
  <sheetData>
    <row r="2" spans="1:8" ht="14.5">
      <c r="A2" s="3" t="s">
        <v>27</v>
      </c>
    </row>
    <row r="4" spans="1:8" ht="24" customHeight="1">
      <c r="A4" s="181" t="s">
        <v>0</v>
      </c>
      <c r="B4" s="191" t="s">
        <v>8</v>
      </c>
      <c r="C4" s="193"/>
      <c r="D4" s="190" t="s">
        <v>107</v>
      </c>
      <c r="E4" s="190"/>
      <c r="F4" s="190"/>
    </row>
    <row r="5" spans="1:8" ht="19.5" customHeight="1">
      <c r="A5" s="183"/>
      <c r="B5" s="197"/>
      <c r="C5" s="199"/>
      <c r="D5" s="89" t="s">
        <v>28</v>
      </c>
      <c r="E5" s="89" t="s">
        <v>439</v>
      </c>
      <c r="F5" s="89" t="s">
        <v>444</v>
      </c>
    </row>
    <row r="6" spans="1:8" ht="65.25" customHeight="1">
      <c r="A6" s="12"/>
      <c r="B6" s="208" t="s">
        <v>30</v>
      </c>
      <c r="C6" s="209"/>
      <c r="D6" s="64"/>
      <c r="E6" s="65"/>
      <c r="F6" s="65"/>
    </row>
    <row r="7" spans="1:8" ht="49.5" customHeight="1">
      <c r="A7" s="12"/>
      <c r="B7" s="208" t="s">
        <v>31</v>
      </c>
      <c r="C7" s="209"/>
      <c r="D7" s="64"/>
      <c r="E7" s="65"/>
      <c r="F7" s="65"/>
    </row>
    <row r="8" spans="1:8" ht="32.25" customHeight="1">
      <c r="A8" s="12"/>
      <c r="B8" s="208" t="s">
        <v>32</v>
      </c>
      <c r="C8" s="209"/>
      <c r="D8" s="64"/>
      <c r="E8" s="65"/>
      <c r="F8" s="65"/>
    </row>
    <row r="9" spans="1:8" ht="32.25" customHeight="1">
      <c r="A9" s="12"/>
      <c r="B9" s="208" t="s">
        <v>33</v>
      </c>
      <c r="C9" s="209"/>
      <c r="D9" s="64"/>
      <c r="E9" s="65"/>
      <c r="F9" s="65"/>
    </row>
    <row r="10" spans="1:8" ht="36.75" customHeight="1">
      <c r="A10" s="207" t="s">
        <v>29</v>
      </c>
      <c r="B10" s="192"/>
      <c r="C10" s="193"/>
      <c r="D10" s="79"/>
      <c r="E10" s="80"/>
      <c r="F10" s="80"/>
      <c r="G10" s="48"/>
      <c r="H10" s="50"/>
    </row>
    <row r="11" spans="1:8" ht="24" customHeight="1">
      <c r="B11" s="81"/>
      <c r="C11" s="23"/>
      <c r="H11" s="50"/>
    </row>
    <row r="12" spans="1:8" ht="24" customHeight="1">
      <c r="C12" s="67"/>
      <c r="E12" s="47"/>
    </row>
    <row r="13" spans="1:8" ht="24" customHeight="1">
      <c r="C13" s="67"/>
      <c r="E13" s="47"/>
    </row>
    <row r="14" spans="1:8" ht="24" customHeight="1">
      <c r="C14" s="67"/>
      <c r="E14" s="51"/>
    </row>
    <row r="15" spans="1:8" ht="24" customHeight="1">
      <c r="C15" s="23"/>
    </row>
    <row r="16" spans="1:8">
      <c r="B16" s="76"/>
    </row>
    <row r="17" spans="1:5" ht="14.5">
      <c r="C17" s="82"/>
      <c r="D17" s="83"/>
      <c r="E17" s="84"/>
    </row>
    <row r="19" spans="1:5" ht="14.5">
      <c r="B19" s="85"/>
      <c r="C19" s="82"/>
      <c r="D19" s="86"/>
      <c r="E19" s="86"/>
    </row>
    <row r="20" spans="1:5" ht="13">
      <c r="B20" s="82"/>
    </row>
    <row r="21" spans="1:5" ht="13">
      <c r="B21" s="87"/>
      <c r="C21" s="82"/>
      <c r="D21" s="206"/>
      <c r="E21" s="206"/>
    </row>
    <row r="22" spans="1:5">
      <c r="A22" s="14"/>
      <c r="B22" s="87"/>
      <c r="C22" s="88"/>
    </row>
  </sheetData>
  <mergeCells count="9">
    <mergeCell ref="B4:C5"/>
    <mergeCell ref="A4:A5"/>
    <mergeCell ref="D4:F4"/>
    <mergeCell ref="D21:E21"/>
    <mergeCell ref="A10:C10"/>
    <mergeCell ref="B6:C6"/>
    <mergeCell ref="B7:C7"/>
    <mergeCell ref="B8:C8"/>
    <mergeCell ref="B9:C9"/>
  </mergeCells>
  <printOptions horizontalCentered="1"/>
  <pageMargins left="0.31496062992125984" right="0.31496062992125984" top="0.51181102362204722" bottom="0.59055118110236227" header="0.31496062992125984" footer="0.31496062992125984"/>
  <pageSetup paperSize="9" scale="95" orientation="landscape" r:id="rId1"/>
  <headerFooter>
    <oddHeader>&amp;L&amp;"Calibri,Normal"Bordereaux des prix</oddHeader>
    <oddFooter>&amp;L&amp;"Calibri,Normal"STEP Abdelmoumen – Marché n° SP 95556 P4 (Appel d’Offres n° SP 457 747)&amp;R&amp;"Calibri,Normal"Page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J34"/>
  <sheetViews>
    <sheetView zoomScaleNormal="100" zoomScaleSheetLayoutView="90" workbookViewId="0">
      <selection activeCell="B18" sqref="B18"/>
    </sheetView>
  </sheetViews>
  <sheetFormatPr baseColWidth="10" defaultColWidth="11.54296875" defaultRowHeight="12.5"/>
  <cols>
    <col min="2" max="2" width="44.54296875" customWidth="1"/>
    <col min="3" max="3" width="10.26953125" customWidth="1"/>
    <col min="4" max="4" width="9.453125" customWidth="1"/>
    <col min="5" max="5" width="16.26953125" customWidth="1"/>
    <col min="6" max="6" width="17.1796875" customWidth="1"/>
    <col min="7" max="7" width="16.453125" customWidth="1"/>
    <col min="8" max="8" width="17.81640625" customWidth="1"/>
  </cols>
  <sheetData>
    <row r="2" spans="1:10" ht="14.5">
      <c r="A2" s="3" t="s">
        <v>106</v>
      </c>
    </row>
    <row r="4" spans="1:10" ht="14.5">
      <c r="A4" s="181" t="s">
        <v>0</v>
      </c>
      <c r="B4" s="181" t="s">
        <v>108</v>
      </c>
      <c r="C4" s="7" t="s">
        <v>9</v>
      </c>
      <c r="D4" s="181" t="s">
        <v>47</v>
      </c>
      <c r="E4" s="190" t="s">
        <v>122</v>
      </c>
      <c r="F4" s="190"/>
      <c r="G4" s="190"/>
      <c r="H4" s="190" t="s">
        <v>107</v>
      </c>
      <c r="I4" s="190"/>
      <c r="J4" s="190"/>
    </row>
    <row r="5" spans="1:10" ht="14.5">
      <c r="A5" s="182"/>
      <c r="B5" s="182"/>
      <c r="C5" s="10"/>
      <c r="D5" s="182"/>
      <c r="E5" s="89" t="s">
        <v>28</v>
      </c>
      <c r="F5" s="89" t="s">
        <v>439</v>
      </c>
      <c r="G5" s="89" t="s">
        <v>444</v>
      </c>
      <c r="H5" s="89" t="s">
        <v>28</v>
      </c>
      <c r="I5" s="89" t="s">
        <v>439</v>
      </c>
      <c r="J5" s="89" t="s">
        <v>444</v>
      </c>
    </row>
    <row r="6" spans="1:10" ht="15" customHeight="1">
      <c r="A6" s="183"/>
      <c r="B6" s="183"/>
      <c r="C6" s="9" t="s">
        <v>16</v>
      </c>
      <c r="D6" s="183"/>
      <c r="E6" s="127" t="s">
        <v>17</v>
      </c>
      <c r="F6" s="127" t="s">
        <v>62</v>
      </c>
      <c r="G6" s="127" t="s">
        <v>445</v>
      </c>
      <c r="H6" s="127" t="s">
        <v>11</v>
      </c>
      <c r="I6" s="127" t="s">
        <v>50</v>
      </c>
      <c r="J6" s="127" t="s">
        <v>446</v>
      </c>
    </row>
    <row r="7" spans="1:10" ht="15" customHeight="1">
      <c r="A7" s="12"/>
      <c r="B7" s="168"/>
      <c r="C7" s="168"/>
      <c r="D7" s="90"/>
      <c r="E7" s="90"/>
      <c r="F7" s="90"/>
      <c r="G7" s="169"/>
      <c r="H7" s="170"/>
      <c r="I7" s="90"/>
      <c r="J7" s="90"/>
    </row>
    <row r="8" spans="1:10" ht="15" customHeight="1">
      <c r="A8" s="1"/>
      <c r="B8" s="90"/>
      <c r="C8" s="89"/>
      <c r="D8" s="171"/>
      <c r="E8" s="90"/>
      <c r="F8" s="90"/>
      <c r="G8" s="172"/>
      <c r="H8" s="170"/>
      <c r="I8" s="90"/>
      <c r="J8" s="90"/>
    </row>
    <row r="9" spans="1:10" ht="15" customHeight="1">
      <c r="A9" s="12"/>
      <c r="B9" s="168"/>
      <c r="C9" s="168"/>
      <c r="D9" s="90"/>
      <c r="E9" s="90"/>
      <c r="F9" s="90"/>
      <c r="G9" s="169"/>
      <c r="H9" s="170"/>
      <c r="I9" s="90"/>
      <c r="J9" s="90"/>
    </row>
    <row r="10" spans="1:10" ht="14.5">
      <c r="A10" s="90"/>
      <c r="B10" s="90"/>
      <c r="C10" s="90"/>
      <c r="D10" s="90"/>
      <c r="E10" s="90"/>
      <c r="F10" s="90"/>
      <c r="G10" s="169"/>
      <c r="H10" s="170"/>
      <c r="I10" s="90"/>
      <c r="J10" s="90"/>
    </row>
    <row r="11" spans="1:10">
      <c r="A11" s="90"/>
      <c r="B11" s="90"/>
      <c r="C11" s="90"/>
      <c r="D11" s="90"/>
      <c r="E11" s="90"/>
      <c r="F11" s="90"/>
      <c r="G11" s="173"/>
      <c r="H11" s="174"/>
      <c r="I11" s="90"/>
      <c r="J11" s="90"/>
    </row>
    <row r="12" spans="1:10">
      <c r="A12" s="90"/>
      <c r="B12" s="90"/>
      <c r="C12" s="90"/>
      <c r="D12" s="90"/>
      <c r="E12" s="90"/>
      <c r="F12" s="90"/>
      <c r="G12" s="173"/>
      <c r="H12" s="174"/>
      <c r="I12" s="90"/>
      <c r="J12" s="90"/>
    </row>
    <row r="13" spans="1:10">
      <c r="A13" s="90"/>
      <c r="B13" s="90"/>
      <c r="C13" s="90"/>
      <c r="D13" s="90"/>
      <c r="E13" s="90"/>
      <c r="F13" s="90"/>
      <c r="G13" s="173"/>
      <c r="H13" s="174"/>
      <c r="I13" s="90"/>
      <c r="J13" s="90"/>
    </row>
    <row r="14" spans="1:10" ht="25.5" customHeight="1">
      <c r="C14" s="16"/>
      <c r="F14" s="14"/>
    </row>
    <row r="15" spans="1:10" ht="25.5" customHeight="1">
      <c r="C15" s="67"/>
      <c r="G15" s="51"/>
    </row>
    <row r="16" spans="1:10" ht="25.5" customHeight="1">
      <c r="A16" s="69"/>
      <c r="B16" s="70"/>
      <c r="C16" s="67"/>
      <c r="G16" s="47"/>
    </row>
    <row r="17" spans="1:8" ht="25.5" customHeight="1">
      <c r="A17" s="63"/>
      <c r="B17" s="68"/>
      <c r="C17" s="67"/>
      <c r="G17" s="51"/>
    </row>
    <row r="18" spans="1:8" ht="25.5" customHeight="1">
      <c r="C18" s="16"/>
    </row>
    <row r="19" spans="1:8" ht="25.5" customHeight="1"/>
    <row r="20" spans="1:8" ht="25.5" customHeight="1"/>
    <row r="21" spans="1:8" ht="25.5" customHeight="1"/>
    <row r="22" spans="1:8" ht="25.5" customHeight="1"/>
    <row r="23" spans="1:8" ht="25.5" customHeight="1"/>
    <row r="24" spans="1:8" ht="25.5" customHeight="1"/>
    <row r="25" spans="1:8" ht="25.5" customHeight="1"/>
    <row r="26" spans="1:8" ht="25.5" customHeight="1"/>
    <row r="27" spans="1:8" ht="25.5" customHeight="1"/>
    <row r="28" spans="1:8" ht="25.5" customHeight="1"/>
    <row r="29" spans="1:8" ht="25.5" customHeight="1"/>
    <row r="31" spans="1:8" ht="14.5">
      <c r="A31" s="210" t="s">
        <v>109</v>
      </c>
      <c r="B31" s="210"/>
      <c r="C31" s="210"/>
      <c r="D31" s="210"/>
      <c r="G31" t="s">
        <v>115</v>
      </c>
      <c r="H31" s="21" t="e">
        <f>'Bordereau N°5'!D19+'Bordereau N°5'!E19+'Bordereau N°6'!#REF!</f>
        <v>#REF!</v>
      </c>
    </row>
    <row r="32" spans="1:8" ht="21" customHeight="1">
      <c r="A32" s="17" t="s">
        <v>110</v>
      </c>
      <c r="B32" s="17" t="s">
        <v>108</v>
      </c>
      <c r="C32" s="17" t="s">
        <v>111</v>
      </c>
      <c r="D32" s="18" t="s">
        <v>112</v>
      </c>
    </row>
    <row r="33" spans="1:8" ht="21.75" customHeight="1">
      <c r="A33" s="1" t="s">
        <v>114</v>
      </c>
      <c r="B33" s="17"/>
      <c r="C33" s="17" t="s">
        <v>116</v>
      </c>
      <c r="D33" s="66" t="s">
        <v>125</v>
      </c>
      <c r="H33" s="22" t="e">
        <f>#REF!+'Bordereau N°5'!D19</f>
        <v>#REF!</v>
      </c>
    </row>
    <row r="34" spans="1:8" ht="13">
      <c r="H34" s="20">
        <f>'Bordereau N°5'!E10</f>
        <v>0</v>
      </c>
    </row>
  </sheetData>
  <mergeCells count="6">
    <mergeCell ref="A31:D31"/>
    <mergeCell ref="E4:G4"/>
    <mergeCell ref="H4:J4"/>
    <mergeCell ref="A4:A6"/>
    <mergeCell ref="B4:B6"/>
    <mergeCell ref="D4:D6"/>
  </mergeCells>
  <printOptions horizontalCentered="1"/>
  <pageMargins left="0.31496062992125984" right="0.31496062992125984" top="0.51181102362204722" bottom="0.59055118110236227" header="0.31496062992125984" footer="0.31496062992125984"/>
  <pageSetup paperSize="9" scale="95" pageOrder="overThenDown" orientation="landscape" r:id="rId1"/>
  <headerFooter>
    <oddHeader>&amp;L&amp;"Calibri,Normal"Bordereaux des prix</oddHeader>
    <oddFooter>&amp;L&amp;"Calibri,Normal"STEP Abdelmoumen – Marché n° SP 95556 P4 (Appel d’Offres n° SP 457 747)&amp;R&amp;"Calibri,Normal"Page &amp;P/&amp;N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11</vt:i4>
      </vt:variant>
    </vt:vector>
  </HeadingPairs>
  <TitlesOfParts>
    <vt:vector size="17" baseType="lpstr">
      <vt:lpstr>Bordereau N°1</vt:lpstr>
      <vt:lpstr>Bordereau N°2</vt:lpstr>
      <vt:lpstr>Bordereau N°3</vt:lpstr>
      <vt:lpstr>Bordereau N°4</vt:lpstr>
      <vt:lpstr>Bordereau N°5</vt:lpstr>
      <vt:lpstr>Bordereau N°6</vt:lpstr>
      <vt:lpstr>'Bordereau N°1'!_Toc419272596</vt:lpstr>
      <vt:lpstr>'Bordereau N°3'!_Toc419272598</vt:lpstr>
      <vt:lpstr>'Bordereau N°1'!Impression_des_titres</vt:lpstr>
      <vt:lpstr>'Bordereau N°2'!Impression_des_titres</vt:lpstr>
      <vt:lpstr>'Bordereau N°4'!Impression_des_titres</vt:lpstr>
      <vt:lpstr>'Bordereau N°1'!Zone_d_impression</vt:lpstr>
      <vt:lpstr>'Bordereau N°2'!Zone_d_impression</vt:lpstr>
      <vt:lpstr>'Bordereau N°3'!Zone_d_impression</vt:lpstr>
      <vt:lpstr>'Bordereau N°4'!Zone_d_impression</vt:lpstr>
      <vt:lpstr>'Bordereau N°5'!Zone_d_impression</vt:lpstr>
      <vt:lpstr>'Bordereau N°6'!Zone_d_impression</vt:lpstr>
    </vt:vector>
  </TitlesOfParts>
  <Company>Andritz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LAMRABET RAILLANI Hamid</dc:creator>
  <cp:lastModifiedBy>LFILALI Jalila</cp:lastModifiedBy>
  <cp:lastPrinted>2017-11-23T12:09:22Z</cp:lastPrinted>
  <dcterms:created xsi:type="dcterms:W3CDTF">2017-05-09T12:10:32Z</dcterms:created>
  <dcterms:modified xsi:type="dcterms:W3CDTF">2026-07-02T21:57:28Z</dcterms:modified>
</cp:coreProperties>
</file>